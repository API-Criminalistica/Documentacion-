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nilibrebog-my.sharepoint.com/personal/cesard-montoyal_unilibre_edu_co/Documents/"/>
    </mc:Choice>
  </mc:AlternateContent>
  <xr:revisionPtr revIDLastSave="0" documentId="8_{9D2BE494-609F-4EE3-AE74-4526578301E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ample - Project Plan Template" sheetId="1" r:id="rId1"/>
  </sheets>
  <definedNames>
    <definedName name="_xlnm.Print_Area" localSheetId="0">'Example - Project Plan Template'!$B$1:$I$26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1" l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0" i="1"/>
  <c r="H121" i="1"/>
  <c r="H122" i="1"/>
  <c r="H123" i="1"/>
  <c r="H124" i="1"/>
  <c r="H125" i="1"/>
  <c r="H126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73" i="1"/>
  <c r="H72" i="1"/>
  <c r="H71" i="1"/>
  <c r="H70" i="1"/>
  <c r="H69" i="1"/>
  <c r="H68" i="1"/>
  <c r="H67" i="1"/>
  <c r="H66" i="1"/>
  <c r="H65" i="1"/>
  <c r="H61" i="1"/>
  <c r="H62" i="1"/>
  <c r="H63" i="1"/>
  <c r="H64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18" i="1"/>
  <c r="H8" i="1"/>
  <c r="H10" i="1" l="1"/>
  <c r="H11" i="1"/>
  <c r="H12" i="1"/>
  <c r="H19" i="1"/>
  <c r="H20" i="1"/>
  <c r="H21" i="1"/>
  <c r="H22" i="1"/>
  <c r="H36" i="1"/>
  <c r="H37" i="1"/>
  <c r="H38" i="1"/>
  <c r="H39" i="1"/>
  <c r="H40" i="1"/>
  <c r="H41" i="1"/>
  <c r="H42" i="1"/>
  <c r="H56" i="1"/>
  <c r="H57" i="1"/>
  <c r="H58" i="1"/>
  <c r="H59" i="1"/>
  <c r="H60" i="1"/>
  <c r="H9" i="1"/>
</calcChain>
</file>

<file path=xl/sharedStrings.xml><?xml version="1.0" encoding="utf-8"?>
<sst xmlns="http://schemas.openxmlformats.org/spreadsheetml/2006/main" count="606" uniqueCount="305">
  <si>
    <t>API CRIMINALISTICA</t>
  </si>
  <si>
    <t>Título del Proyecto</t>
  </si>
  <si>
    <t>Fecha inicio</t>
  </si>
  <si>
    <t>Criminalistica API</t>
  </si>
  <si>
    <t>Duracion del proyecto</t>
  </si>
  <si>
    <t>Gerente del Proyecto</t>
  </si>
  <si>
    <t>Fecha Fin</t>
  </si>
  <si>
    <t>en dias</t>
  </si>
  <si>
    <t>CAMILO ANDRES ANGARITA RAMIREZ</t>
  </si>
  <si>
    <t>WBS No.</t>
  </si>
  <si>
    <t>Nombre de la tarea</t>
  </si>
  <si>
    <t>Estado</t>
  </si>
  <si>
    <t>Asignado a</t>
  </si>
  <si>
    <t>Fecha  inicio</t>
  </si>
  <si>
    <t>Fecha fin</t>
  </si>
  <si>
    <t>Duración (en días)</t>
  </si>
  <si>
    <t>Comentarios</t>
  </si>
  <si>
    <t>Concepción e Inicio del Proyecto</t>
  </si>
  <si>
    <t>No Iniciado</t>
  </si>
  <si>
    <t>1.1.1</t>
  </si>
  <si>
    <t>1. Inicio y definición del proyecto</t>
  </si>
  <si>
    <t>Completo</t>
  </si>
  <si>
    <t xml:space="preserve">Equipo completo </t>
  </si>
  <si>
    <t>Establecer limites funcionales y tecnicos del sistema de gestion de incidentes</t>
  </si>
  <si>
    <t>En progreso</t>
  </si>
  <si>
    <t>1.1.2</t>
  </si>
  <si>
    <t>Identificar stakeholders del proyecto</t>
  </si>
  <si>
    <t xml:space="preserve">Definir fucnionalidades CRUD  y filtros pro fecha y locaclidad, consulta por mapa </t>
  </si>
  <si>
    <t>1.1.3</t>
  </si>
  <si>
    <t>Definir problema a resolver</t>
  </si>
  <si>
    <t xml:space="preserve">Definir seguridad rendimientos y validaciones  y estructura escalable </t>
  </si>
  <si>
    <t>En Espera</t>
  </si>
  <si>
    <t>Definir alcance del proyecto</t>
  </si>
  <si>
    <t>Definir entidades: Incidentes, localidad, TipoDelito, y sus relaciones</t>
  </si>
  <si>
    <t>Definir objetivos generales del sistema</t>
  </si>
  <si>
    <t>14/2/2026</t>
  </si>
  <si>
    <t xml:space="preserve">Definir separacion en controladores, servicios y repositorios </t>
  </si>
  <si>
    <t>Definir objetivos específicos</t>
  </si>
  <si>
    <t>14/02/2026</t>
  </si>
  <si>
    <t>Crear tablas, relaciones, claves primariasy restricciones</t>
  </si>
  <si>
    <t>Definir restricciones del proyecto (tiempo, tecnología, recursos)</t>
  </si>
  <si>
    <t>21/02/2026</t>
  </si>
  <si>
    <t>21/2/2026</t>
  </si>
  <si>
    <t>Configurar Visual Studio, SQL Server, repositorio Git y entorno local</t>
  </si>
  <si>
    <t>Definir entregables del proyecto</t>
  </si>
  <si>
    <t>Definir limites de entrega del proyecto</t>
  </si>
  <si>
    <t>Elaborar documento de visión del sistema</t>
  </si>
  <si>
    <t>28/02/2026</t>
  </si>
  <si>
    <t>Documentación de visión del sistema</t>
  </si>
  <si>
    <t>Validar alcance con el equipo y docente</t>
  </si>
  <si>
    <t>Validación de progreso en clase</t>
  </si>
  <si>
    <t>Análisis de requerimientos</t>
  </si>
  <si>
    <t>Requerimientos funcionales</t>
  </si>
  <si>
    <t>Backend</t>
  </si>
  <si>
    <t>Iniciar proyecto ASP.NET Core web API</t>
  </si>
  <si>
    <t>Identificar actores del sistema</t>
  </si>
  <si>
    <t>Crear clases de dominio y configurar ORM (Entity Framework)</t>
  </si>
  <si>
    <t>Definir casos de uso principales</t>
  </si>
  <si>
    <t>Crear capa de acceso a datos desacoplada de la logica de negocio</t>
  </si>
  <si>
    <t>Documentar casos de uso del sistema</t>
  </si>
  <si>
    <t>21/3/2026</t>
  </si>
  <si>
    <t>28/3/2026</t>
  </si>
  <si>
    <t>Programar endpoints REST (GET, POST, PUT, DELETE)</t>
  </si>
  <si>
    <t>Definir flujo principal de cada caso de uso</t>
  </si>
  <si>
    <t>Paso a paso a seguir para cada flujo</t>
  </si>
  <si>
    <t>Definir flujos alternativos</t>
  </si>
  <si>
    <t>Definir casos a seguir en caso de situaciones alternativas a los casos de uso designados</t>
  </si>
  <si>
    <t>Priorizar requerimientos funcionales</t>
  </si>
  <si>
    <t>Poner en primera parte los requerimientos funcionales establecitos</t>
  </si>
  <si>
    <t>Validar requerimientos con el equipo</t>
  </si>
  <si>
    <t>Reunión grupal para validar los requerimientos.</t>
  </si>
  <si>
    <t>Requerimientos no funcionales</t>
  </si>
  <si>
    <t>Establece los requerimientos no funcionales del proyecto.</t>
  </si>
  <si>
    <t>Definir requerimientos de seguridad</t>
  </si>
  <si>
    <t>Definir los requerimientos de seguridad para el proyecto</t>
  </si>
  <si>
    <t>Definir requerimientos de rendimiento</t>
  </si>
  <si>
    <t>Definir los requerimientos de rendimiento para el proyecto</t>
  </si>
  <si>
    <t>Definir requerimientos de disponibilidad</t>
  </si>
  <si>
    <t>Definir los requerimientos de Disponibilidad del proyecto</t>
  </si>
  <si>
    <t>Definir requerimientos de usabilidad</t>
  </si>
  <si>
    <t>Definir los requerimientos de usabilidad del proyecto</t>
  </si>
  <si>
    <t>Definir requerimientos de escalabilidad</t>
  </si>
  <si>
    <t>Definir los requerimientos de escalabilidad del proyecto.</t>
  </si>
  <si>
    <t>Definir requerimientos de compatibilidad</t>
  </si>
  <si>
    <t>Definir los requerimientos de compatibilidad del proyecto.</t>
  </si>
  <si>
    <t>Documentar estándares de desarrollo</t>
  </si>
  <si>
    <t>Documentación de los estandares del proyecto.</t>
  </si>
  <si>
    <t>Diseño del sistema</t>
  </si>
  <si>
    <t>Modelado de datos</t>
  </si>
  <si>
    <t xml:space="preserve">Programar consultas avanzadas con parameros dinamicos </t>
  </si>
  <si>
    <t>Identificar entidades principales del sistema</t>
  </si>
  <si>
    <t xml:space="preserve">Aplicar validaciones de entrada y reglas de negocio </t>
  </si>
  <si>
    <t>3.2.1</t>
  </si>
  <si>
    <t>Definir atributos de cada entidad</t>
  </si>
  <si>
    <t xml:space="preserve">Generar documentacion automatica de la API para pruebas </t>
  </si>
  <si>
    <t>3.2.2</t>
  </si>
  <si>
    <t>Definir relaciones entre entidades</t>
  </si>
  <si>
    <t>Frontend</t>
  </si>
  <si>
    <t>Diseñar estructura visual del sistema y experiencia de usuario</t>
  </si>
  <si>
    <t>Diseñar modelo conceptual de datos</t>
  </si>
  <si>
    <t xml:space="preserve">Mostrar incidentes geolocalizados por localidad </t>
  </si>
  <si>
    <t>3.3.1</t>
  </si>
  <si>
    <t>Diseñar modelo lógico de base de datos</t>
  </si>
  <si>
    <t xml:space="preserve">Conectar consumo de endpoints mediate fetch o axios </t>
  </si>
  <si>
    <t>3.3.2</t>
  </si>
  <si>
    <t>Normalizar tablas</t>
  </si>
  <si>
    <t>Estructura normalizada para las tablas.</t>
  </si>
  <si>
    <t>3.3.3</t>
  </si>
  <si>
    <t>Diseñar modelo físico de base de datos</t>
  </si>
  <si>
    <t>Diseño de modelo en sql server.</t>
  </si>
  <si>
    <t>3.3.4</t>
  </si>
  <si>
    <t>Definir claves primarias</t>
  </si>
  <si>
    <t>Definir llaves primarias</t>
  </si>
  <si>
    <t>3.3.5</t>
  </si>
  <si>
    <t>Definir claves foráneas</t>
  </si>
  <si>
    <t>Definir las claves foraneas</t>
  </si>
  <si>
    <t>3.3.6</t>
  </si>
  <si>
    <t>Arquitectura del sistema</t>
  </si>
  <si>
    <t>Definir la base de datos segun la arquitectura del sistema</t>
  </si>
  <si>
    <t>3.3.7</t>
  </si>
  <si>
    <t>Seleccionar arquitectura del sistema</t>
  </si>
  <si>
    <t>Seleccionar la arquitectura.</t>
  </si>
  <si>
    <t>3.3.8</t>
  </si>
  <si>
    <t>Diseñar arquitectura en capas (MVC)</t>
  </si>
  <si>
    <t>Diseño de arquitectura en capas</t>
  </si>
  <si>
    <t>3.3.9</t>
  </si>
  <si>
    <t>Definir estructura del backend</t>
  </si>
  <si>
    <t>Se define la estructura en backend.</t>
  </si>
  <si>
    <t>3.3.10</t>
  </si>
  <si>
    <t>Definir estructura del frontend</t>
  </si>
  <si>
    <t>Se define la estructura en frontend.</t>
  </si>
  <si>
    <t>3.3.11</t>
  </si>
  <si>
    <t>Definir patrón de acceso a datos</t>
  </si>
  <si>
    <t>Definición de patrón usar</t>
  </si>
  <si>
    <t>3.3.12</t>
  </si>
  <si>
    <t>Definir estructura de API REST</t>
  </si>
  <si>
    <t>Definición de estructura API</t>
  </si>
  <si>
    <t>3.3.13</t>
  </si>
  <si>
    <t>Diseñar diagrama de componentes</t>
  </si>
  <si>
    <t>Diseñar el diagrama de componentes.</t>
  </si>
  <si>
    <t>3.3.14</t>
  </si>
  <si>
    <t>Diseñar diagrama de despliegue</t>
  </si>
  <si>
    <t>Diseñar diagrama de despliegue del proyecto.</t>
  </si>
  <si>
    <t>4. Configuración del entorno de desarrollo</t>
  </si>
  <si>
    <t>Instalar herramientas de desarrollo</t>
  </si>
  <si>
    <t>Validar funcionamiento de controladores y servicios</t>
  </si>
  <si>
    <t>Configurar repositorio de control de versiones</t>
  </si>
  <si>
    <t>Backend + Frontend</t>
  </si>
  <si>
    <t>Verificar comunicacion entre API y cliente</t>
  </si>
  <si>
    <t>Configurar entorno de desarrollo (.NET / C#)</t>
  </si>
  <si>
    <t xml:space="preserve">Comprobar que todos los requerimientos fueron implementados </t>
  </si>
  <si>
    <t>Configurar SQL Server</t>
  </si>
  <si>
    <t>Gerente de proyecto</t>
  </si>
  <si>
    <t xml:space="preserve">Registrar mejoras futuras y presentar el sistema al patrocinador </t>
  </si>
  <si>
    <t>Crear base de datos inicial</t>
  </si>
  <si>
    <t>Creación de base de datos</t>
  </si>
  <si>
    <t>Configurar conexión a la base de datos</t>
  </si>
  <si>
    <t>Configurar parametros de conexion para la base de datos.</t>
  </si>
  <si>
    <t>Configurar dependencias del proyecto</t>
  </si>
  <si>
    <t>Inyección de dependencias.</t>
  </si>
  <si>
    <t>Crear estructura base del proyecto</t>
  </si>
  <si>
    <t>Se crea la estructura inicial.</t>
  </si>
  <si>
    <t>5. Desarrollo Backend (API)</t>
  </si>
  <si>
    <t>Estructura del proyecto</t>
  </si>
  <si>
    <t>Crear proyecto API en C#</t>
  </si>
  <si>
    <t>Configurar estructura de carpetas</t>
  </si>
  <si>
    <t>Configurar archivo de configuración del sistema</t>
  </si>
  <si>
    <t>Modelos y entidades</t>
  </si>
  <si>
    <t>Creación de modelos y entidades</t>
  </si>
  <si>
    <t>Implementar modelo de entidades</t>
  </si>
  <si>
    <t>Se implementa el modelo.</t>
  </si>
  <si>
    <t>Crear clases de dominio</t>
  </si>
  <si>
    <t>Se crean las clases de dominio.</t>
  </si>
  <si>
    <t>Configurar mapeo de entidades</t>
  </si>
  <si>
    <t>Se realiza el mapeo.</t>
  </si>
  <si>
    <t>Implementar DTOs</t>
  </si>
  <si>
    <t>Se implementan los DTOs.</t>
  </si>
  <si>
    <t>5.1.1</t>
  </si>
  <si>
    <t>Acceso a datos</t>
  </si>
  <si>
    <t>Acceso a datos desde back hacia sql server</t>
  </si>
  <si>
    <t>5.1.2</t>
  </si>
  <si>
    <t>Implementar patrón repositorio</t>
  </si>
  <si>
    <t>Se implementan patrones de diseño</t>
  </si>
  <si>
    <t>5.1.3</t>
  </si>
  <si>
    <t>Implementar interfaz de repositorios</t>
  </si>
  <si>
    <t>Acceso por interfaces.</t>
  </si>
  <si>
    <t>5.1.4</t>
  </si>
  <si>
    <t>Implementar servicios de acceso a datos</t>
  </si>
  <si>
    <t>Servicios para la base de datos.</t>
  </si>
  <si>
    <t>5.1.5</t>
  </si>
  <si>
    <t>Lógica del sistema</t>
  </si>
  <si>
    <t>Definición de la logica del sistema</t>
  </si>
  <si>
    <t>5.1.6</t>
  </si>
  <si>
    <t>Implementar CRUD de incidentes</t>
  </si>
  <si>
    <t>Implementación de CRUD</t>
  </si>
  <si>
    <t>5.1.7</t>
  </si>
  <si>
    <t>Implementar CRUD de usuarios</t>
  </si>
  <si>
    <t>5.1.8</t>
  </si>
  <si>
    <t>Implementar filtros por fecha</t>
  </si>
  <si>
    <t>Filtros</t>
  </si>
  <si>
    <t>5.1.9</t>
  </si>
  <si>
    <t>Implementar filtros por localidad</t>
  </si>
  <si>
    <t>5.1.1.1</t>
  </si>
  <si>
    <t>Implementar búsqueda de incidentes</t>
  </si>
  <si>
    <t>5.1.1.2</t>
  </si>
  <si>
    <t>Implementar validaciones de datos</t>
  </si>
  <si>
    <t>Validacion</t>
  </si>
  <si>
    <t>5.1.1.3</t>
  </si>
  <si>
    <t>Implementar manejo de errores</t>
  </si>
  <si>
    <t>Control de errores y excepciones</t>
  </si>
  <si>
    <t>5.1.1.4</t>
  </si>
  <si>
    <t>Implementar control de excepciones</t>
  </si>
  <si>
    <t>5.1.1.5</t>
  </si>
  <si>
    <t>API</t>
  </si>
  <si>
    <t>Creación de swagger</t>
  </si>
  <si>
    <t>5.1.1.6</t>
  </si>
  <si>
    <t>Implementar controladores REST</t>
  </si>
  <si>
    <t>Controladores / Endpoints</t>
  </si>
  <si>
    <t>5.1.1.7</t>
  </si>
  <si>
    <t>Implementar endpoints de la API</t>
  </si>
  <si>
    <t>5.1.1.8</t>
  </si>
  <si>
    <t>Implementar documentación Swagger</t>
  </si>
  <si>
    <t>Swagger</t>
  </si>
  <si>
    <t>5.1.1.9</t>
  </si>
  <si>
    <t>Implementar autenticación básica (si aplica)</t>
  </si>
  <si>
    <t>Autenticación por temas de seguridad</t>
  </si>
  <si>
    <t>6. Desarrollo Frontend</t>
  </si>
  <si>
    <t>Diseño de interfaz</t>
  </si>
  <si>
    <t>Diseñar wireframes del sistema</t>
  </si>
  <si>
    <t>Diseñar prototipo de interfaz</t>
  </si>
  <si>
    <t>Definir estructura de navegación</t>
  </si>
  <si>
    <t>Diseñar layout de la aplicación</t>
  </si>
  <si>
    <t>Parte visual</t>
  </si>
  <si>
    <t>Diseñar componentes de interfaz</t>
  </si>
  <si>
    <t>Parte visual para el usuario</t>
  </si>
  <si>
    <t>Implementación</t>
  </si>
  <si>
    <t>Implementacion</t>
  </si>
  <si>
    <t>Implementar interfaz de usuario</t>
  </si>
  <si>
    <t>Interfaz de usuario para el proyecto</t>
  </si>
  <si>
    <t>Implementar formulario de registro de incidentes</t>
  </si>
  <si>
    <t>Parte de incidentes</t>
  </si>
  <si>
    <t>6.1.1</t>
  </si>
  <si>
    <t>Implementar vista de listado de incidentes</t>
  </si>
  <si>
    <t>Listado de incidentes</t>
  </si>
  <si>
    <t>6.1.2</t>
  </si>
  <si>
    <t>Implementar vista de detalle de incidentes</t>
  </si>
  <si>
    <t>Detalle de incidentes</t>
  </si>
  <si>
    <t>6.1.3</t>
  </si>
  <si>
    <t>Implementar vista de consulta por mapa</t>
  </si>
  <si>
    <t>Mapa de incidentes</t>
  </si>
  <si>
    <t>6.1.4</t>
  </si>
  <si>
    <t>Implementar filtros de búsqueda</t>
  </si>
  <si>
    <t>6.1.5</t>
  </si>
  <si>
    <t>Implementar validación de formularios</t>
  </si>
  <si>
    <t>Formularios para validar datos</t>
  </si>
  <si>
    <t xml:space="preserve"> Integración del sistema</t>
  </si>
  <si>
    <t>Integrar frontend con API</t>
  </si>
  <si>
    <t>Configurar consumo de endpoints</t>
  </si>
  <si>
    <t>Implementar manejo de respuestas HTTP</t>
  </si>
  <si>
    <t>Implementar manejo de errores en frontend</t>
  </si>
  <si>
    <t>Validar flujo completo del sistema</t>
  </si>
  <si>
    <t>8. Pruebas del sistema</t>
  </si>
  <si>
    <t>Pruebas técnicas</t>
  </si>
  <si>
    <t>Diseñar casos de prueba</t>
  </si>
  <si>
    <t>Realizar pruebas unitarias</t>
  </si>
  <si>
    <t>Realizar pruebas de integración</t>
  </si>
  <si>
    <t>Realizar pruebas de API</t>
  </si>
  <si>
    <t>Testeo de pruebas para el API</t>
  </si>
  <si>
    <t>Validar funcionamiento de endpoints</t>
  </si>
  <si>
    <t>Validar endpoints</t>
  </si>
  <si>
    <t>Pruebas funcionales</t>
  </si>
  <si>
    <t>Pruebas funcionales del proyecto.</t>
  </si>
  <si>
    <t>Probar registro de incidentes</t>
  </si>
  <si>
    <t>Testeo de registro de incidentes</t>
  </si>
  <si>
    <t>Probar consulta de incidentes</t>
  </si>
  <si>
    <t>Testeo de consulta de incidentes</t>
  </si>
  <si>
    <t>8.1.1</t>
  </si>
  <si>
    <t>Probar filtros de búsqueda</t>
  </si>
  <si>
    <t>Testeo de filtro</t>
  </si>
  <si>
    <t>8.1.2</t>
  </si>
  <si>
    <t>Probar funcionamiento del mapa</t>
  </si>
  <si>
    <t>Testeo de mapa</t>
  </si>
  <si>
    <t>8.1.3</t>
  </si>
  <si>
    <t>Probar interfaz de usuario</t>
  </si>
  <si>
    <t>Testeo de IU para el usuario</t>
  </si>
  <si>
    <t xml:space="preserve"> Validación del proyecto</t>
  </si>
  <si>
    <t>Validar cumplimiento de requerimientos</t>
  </si>
  <si>
    <t>Validar cumplimiento de objetivos</t>
  </si>
  <si>
    <t>Realizar pruebas finales del sistema</t>
  </si>
  <si>
    <t>Recibir retroalimentación del docente</t>
  </si>
  <si>
    <t>Realizar ajustes finales</t>
  </si>
  <si>
    <t>Se realizan ajustes finales</t>
  </si>
  <si>
    <t>10. Documentación y cierre</t>
  </si>
  <si>
    <t>Documentar arquitectura del sistema</t>
  </si>
  <si>
    <t>Documentar base de datos</t>
  </si>
  <si>
    <t>Documentar API</t>
  </si>
  <si>
    <t>Elaborar manual técnico</t>
  </si>
  <si>
    <t>Elaborar manual de usuario</t>
  </si>
  <si>
    <t>Se elabora manual para el uso del API</t>
  </si>
  <si>
    <t>Documentar lecciones aprendidas</t>
  </si>
  <si>
    <t>Se documenta de manera retroalimentativa</t>
  </si>
  <si>
    <t>Preparar presentación del proyecto</t>
  </si>
  <si>
    <t>Se prepara la presentación del proyecto</t>
  </si>
  <si>
    <t>Entrega final del proyect0</t>
  </si>
  <si>
    <t>Se realiza la entrega definitiva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</si>
</sst>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mm/dd"/>
  </numFmts>
  <fonts count="15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sz val="10"/>
      <color theme="0"/>
      <name val="Century Gothic"/>
      <family val="1"/>
    </font>
    <font>
      <sz val="12"/>
      <color theme="0"/>
      <name val="Century Gothic"/>
      <family val="1"/>
    </font>
    <font>
      <b/>
      <sz val="11"/>
      <color rgb="FF001033"/>
      <name val="Century Gothic"/>
      <family val="1"/>
    </font>
    <font>
      <b/>
      <sz val="10"/>
      <color rgb="FF001033"/>
      <name val="Century Gothic"/>
      <family val="1"/>
    </font>
    <font>
      <b/>
      <sz val="28"/>
      <color rgb="FF001033"/>
      <name val="Century Gothic"/>
      <family val="1"/>
    </font>
    <font>
      <sz val="12"/>
      <color rgb="FF000000"/>
      <name val="Arial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1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1033"/>
      </bottom>
      <diagonal/>
    </border>
    <border>
      <left style="medium">
        <color rgb="FF001033"/>
      </left>
      <right style="medium">
        <color rgb="FF001033"/>
      </right>
      <top style="medium">
        <color rgb="FF00103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rgb="FF00103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</cellStyleXfs>
  <cellXfs count="96">
    <xf numFmtId="0" fontId="0" fillId="0" borderId="0" xfId="0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left" vertical="center" wrapText="1" indent="1"/>
    </xf>
    <xf numFmtId="164" fontId="5" fillId="2" borderId="1" xfId="0" applyNumberFormat="1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2"/>
    </xf>
    <xf numFmtId="0" fontId="8" fillId="0" borderId="1" xfId="0" applyFont="1" applyBorder="1" applyAlignment="1">
      <alignment horizontal="left" vertical="center" wrapText="1" indent="3"/>
    </xf>
    <xf numFmtId="0" fontId="8" fillId="0" borderId="2" xfId="0" applyFont="1" applyBorder="1" applyAlignment="1">
      <alignment horizontal="left" vertical="center" wrapText="1" indent="2"/>
    </xf>
    <xf numFmtId="0" fontId="4" fillId="2" borderId="2" xfId="0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horizontal="left" vertical="center" wrapText="1" indent="1"/>
    </xf>
    <xf numFmtId="0" fontId="4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wrapText="1"/>
    </xf>
    <xf numFmtId="0" fontId="10" fillId="6" borderId="3" xfId="0" applyFont="1" applyFill="1" applyBorder="1" applyAlignment="1">
      <alignment horizontal="left" vertical="center" wrapText="1" indent="1"/>
    </xf>
    <xf numFmtId="0" fontId="6" fillId="6" borderId="3" xfId="0" applyFont="1" applyFill="1" applyBorder="1" applyAlignment="1">
      <alignment horizontal="left" vertical="center" wrapText="1" indent="1"/>
    </xf>
    <xf numFmtId="165" fontId="10" fillId="6" borderId="3" xfId="0" applyNumberFormat="1" applyFont="1" applyFill="1" applyBorder="1" applyAlignment="1">
      <alignment horizontal="left" vertical="center" wrapText="1" indent="1"/>
    </xf>
    <xf numFmtId="1" fontId="10" fillId="6" borderId="3" xfId="0" applyNumberFormat="1" applyFont="1" applyFill="1" applyBorder="1" applyAlignment="1">
      <alignment horizontal="left" vertical="center" wrapText="1" indent="1"/>
    </xf>
    <xf numFmtId="0" fontId="9" fillId="6" borderId="3" xfId="0" applyFont="1" applyFill="1" applyBorder="1" applyAlignment="1">
      <alignment horizontal="left" vertical="center" wrapText="1" indent="1"/>
    </xf>
    <xf numFmtId="165" fontId="5" fillId="0" borderId="1" xfId="0" applyNumberFormat="1" applyFont="1" applyBorder="1" applyAlignment="1">
      <alignment horizontal="left" vertical="center" wrapText="1" indent="1" readingOrder="1"/>
    </xf>
    <xf numFmtId="165" fontId="4" fillId="0" borderId="1" xfId="0" applyNumberFormat="1" applyFont="1" applyBorder="1" applyAlignment="1">
      <alignment horizontal="left" vertical="center" wrapText="1" indent="1"/>
    </xf>
    <xf numFmtId="165" fontId="4" fillId="0" borderId="2" xfId="0" applyNumberFormat="1" applyFont="1" applyBorder="1" applyAlignment="1">
      <alignment horizontal="left" vertical="center" wrapText="1" indent="1"/>
    </xf>
    <xf numFmtId="1" fontId="4" fillId="11" borderId="1" xfId="0" applyNumberFormat="1" applyFont="1" applyFill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165" fontId="4" fillId="0" borderId="4" xfId="0" applyNumberFormat="1" applyFont="1" applyBorder="1" applyAlignment="1">
      <alignment horizontal="left" vertical="center" wrapText="1" indent="1"/>
    </xf>
    <xf numFmtId="1" fontId="4" fillId="11" borderId="7" xfId="0" applyNumberFormat="1" applyFont="1" applyFill="1" applyBorder="1" applyAlignment="1">
      <alignment horizontal="left" vertical="center" wrapText="1" indent="1"/>
    </xf>
    <xf numFmtId="0" fontId="13" fillId="2" borderId="0" xfId="0" applyFont="1" applyFill="1" applyAlignment="1">
      <alignment vertical="center"/>
    </xf>
    <xf numFmtId="0" fontId="5" fillId="14" borderId="1" xfId="0" applyFont="1" applyFill="1" applyBorder="1" applyAlignment="1">
      <alignment horizontal="left" vertical="center" wrapText="1" indent="1" readingOrder="1"/>
    </xf>
    <xf numFmtId="0" fontId="4" fillId="5" borderId="3" xfId="0" applyFont="1" applyFill="1" applyBorder="1" applyAlignment="1">
      <alignment horizontal="left" vertical="center" wrapText="1" indent="1"/>
    </xf>
    <xf numFmtId="0" fontId="12" fillId="4" borderId="6" xfId="0" applyFont="1" applyFill="1" applyBorder="1" applyAlignment="1">
      <alignment horizontal="left" vertical="center" wrapText="1" indent="1"/>
    </xf>
    <xf numFmtId="0" fontId="10" fillId="6" borderId="0" xfId="0" applyFont="1" applyFill="1" applyAlignment="1">
      <alignment horizontal="left" vertical="center" indent="1"/>
    </xf>
    <xf numFmtId="0" fontId="5" fillId="15" borderId="1" xfId="0" applyFont="1" applyFill="1" applyBorder="1" applyAlignment="1">
      <alignment horizontal="left" vertical="center" wrapText="1" indent="1" readingOrder="1"/>
    </xf>
    <xf numFmtId="0" fontId="4" fillId="16" borderId="1" xfId="0" applyFont="1" applyFill="1" applyBorder="1" applyAlignment="1">
      <alignment horizontal="left" vertical="center" wrapText="1" indent="1"/>
    </xf>
    <xf numFmtId="14" fontId="14" fillId="0" borderId="0" xfId="0" applyNumberFormat="1" applyFont="1"/>
    <xf numFmtId="0" fontId="11" fillId="4" borderId="8" xfId="0" applyFont="1" applyFill="1" applyBorder="1" applyAlignment="1">
      <alignment horizontal="left" vertical="center" wrapText="1" indent="1"/>
    </xf>
    <xf numFmtId="0" fontId="11" fillId="10" borderId="8" xfId="0" applyFont="1" applyFill="1" applyBorder="1" applyAlignment="1">
      <alignment horizontal="left" vertical="center" wrapText="1" indent="1"/>
    </xf>
    <xf numFmtId="0" fontId="11" fillId="10" borderId="9" xfId="0" applyFont="1" applyFill="1" applyBorder="1" applyAlignment="1">
      <alignment horizontal="left" vertical="center" wrapText="1" indent="1"/>
    </xf>
    <xf numFmtId="0" fontId="4" fillId="7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7" borderId="3" xfId="0" applyNumberFormat="1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left" vertical="center" wrapText="1"/>
    </xf>
    <xf numFmtId="165" fontId="4" fillId="7" borderId="3" xfId="0" applyNumberFormat="1" applyFont="1" applyFill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left" vertical="center" wrapText="1"/>
    </xf>
    <xf numFmtId="1" fontId="4" fillId="7" borderId="3" xfId="0" applyNumberFormat="1" applyFont="1" applyFill="1" applyBorder="1" applyAlignment="1">
      <alignment horizontal="left" vertical="center" wrapText="1"/>
    </xf>
    <xf numFmtId="1" fontId="4" fillId="12" borderId="1" xfId="0" applyNumberFormat="1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64" fontId="4" fillId="2" borderId="4" xfId="0" applyNumberFormat="1" applyFont="1" applyFill="1" applyBorder="1" applyAlignment="1">
      <alignment horizontal="left" vertical="center" wrapText="1"/>
    </xf>
    <xf numFmtId="165" fontId="4" fillId="0" borderId="4" xfId="0" applyNumberFormat="1" applyFont="1" applyBorder="1" applyAlignment="1">
      <alignment horizontal="left" vertical="center" wrapText="1"/>
    </xf>
    <xf numFmtId="14" fontId="4" fillId="0" borderId="0" xfId="0" applyNumberFormat="1" applyFont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 wrapText="1"/>
    </xf>
    <xf numFmtId="164" fontId="4" fillId="8" borderId="3" xfId="0" applyNumberFormat="1" applyFont="1" applyFill="1" applyBorder="1" applyAlignment="1">
      <alignment horizontal="left" vertical="center" wrapText="1"/>
    </xf>
    <xf numFmtId="165" fontId="4" fillId="8" borderId="3" xfId="0" applyNumberFormat="1" applyFont="1" applyFill="1" applyBorder="1" applyAlignment="1">
      <alignment horizontal="left" vertical="center" wrapText="1"/>
    </xf>
    <xf numFmtId="1" fontId="4" fillId="8" borderId="3" xfId="0" applyNumberFormat="1" applyFont="1" applyFill="1" applyBorder="1" applyAlignment="1">
      <alignment horizontal="left" vertical="center" wrapText="1"/>
    </xf>
    <xf numFmtId="1" fontId="4" fillId="13" borderId="1" xfId="0" applyNumberFormat="1" applyFont="1" applyFill="1" applyBorder="1" applyAlignment="1">
      <alignment horizontal="left" vertical="center" wrapText="1"/>
    </xf>
    <xf numFmtId="1" fontId="4" fillId="13" borderId="4" xfId="0" applyNumberFormat="1" applyFont="1" applyFill="1" applyBorder="1" applyAlignment="1">
      <alignment horizontal="left" vertical="center" wrapText="1"/>
    </xf>
    <xf numFmtId="165" fontId="4" fillId="17" borderId="3" xfId="0" applyNumberFormat="1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left" vertical="center" wrapText="1"/>
    </xf>
    <xf numFmtId="164" fontId="4" fillId="9" borderId="3" xfId="0" applyNumberFormat="1" applyFont="1" applyFill="1" applyBorder="1" applyAlignment="1">
      <alignment horizontal="left" vertical="center" wrapText="1"/>
    </xf>
    <xf numFmtId="1" fontId="4" fillId="9" borderId="3" xfId="0" applyNumberFormat="1" applyFont="1" applyFill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left" vertical="center" wrapText="1"/>
    </xf>
    <xf numFmtId="1" fontId="4" fillId="3" borderId="4" xfId="0" applyNumberFormat="1" applyFont="1" applyFill="1" applyBorder="1" applyAlignment="1">
      <alignment horizontal="left" vertical="center" wrapText="1"/>
    </xf>
    <xf numFmtId="165" fontId="4" fillId="18" borderId="1" xfId="0" applyNumberFormat="1" applyFont="1" applyFill="1" applyBorder="1" applyAlignment="1">
      <alignment horizontal="left" vertical="center" wrapText="1"/>
    </xf>
    <xf numFmtId="0" fontId="4" fillId="19" borderId="3" xfId="0" applyFont="1" applyFill="1" applyBorder="1" applyAlignment="1">
      <alignment horizontal="left" vertical="center" wrapText="1"/>
    </xf>
    <xf numFmtId="164" fontId="4" fillId="19" borderId="3" xfId="0" applyNumberFormat="1" applyFont="1" applyFill="1" applyBorder="1" applyAlignment="1">
      <alignment horizontal="left" vertical="center" wrapText="1"/>
    </xf>
    <xf numFmtId="1" fontId="4" fillId="19" borderId="3" xfId="0" applyNumberFormat="1" applyFont="1" applyFill="1" applyBorder="1" applyAlignment="1">
      <alignment horizontal="left" vertical="center" wrapText="1"/>
    </xf>
    <xf numFmtId="0" fontId="4" fillId="20" borderId="3" xfId="0" applyFont="1" applyFill="1" applyBorder="1" applyAlignment="1">
      <alignment horizontal="left" vertical="center" wrapText="1"/>
    </xf>
    <xf numFmtId="164" fontId="4" fillId="20" borderId="3" xfId="0" applyNumberFormat="1" applyFont="1" applyFill="1" applyBorder="1" applyAlignment="1">
      <alignment horizontal="left" vertical="center" wrapText="1"/>
    </xf>
    <xf numFmtId="165" fontId="4" fillId="20" borderId="3" xfId="0" applyNumberFormat="1" applyFont="1" applyFill="1" applyBorder="1" applyAlignment="1">
      <alignment horizontal="left" vertical="center" wrapText="1"/>
    </xf>
    <xf numFmtId="165" fontId="4" fillId="20" borderId="1" xfId="0" applyNumberFormat="1" applyFont="1" applyFill="1" applyBorder="1" applyAlignment="1">
      <alignment horizontal="left" vertical="center" wrapText="1"/>
    </xf>
    <xf numFmtId="1" fontId="4" fillId="20" borderId="3" xfId="0" applyNumberFormat="1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164" fontId="4" fillId="6" borderId="3" xfId="0" applyNumberFormat="1" applyFont="1" applyFill="1" applyBorder="1" applyAlignment="1">
      <alignment horizontal="left" vertical="center" wrapText="1"/>
    </xf>
    <xf numFmtId="165" fontId="4" fillId="6" borderId="3" xfId="0" applyNumberFormat="1" applyFont="1" applyFill="1" applyBorder="1" applyAlignment="1">
      <alignment horizontal="left" vertical="center" wrapText="1"/>
    </xf>
    <xf numFmtId="165" fontId="4" fillId="6" borderId="1" xfId="0" applyNumberFormat="1" applyFont="1" applyFill="1" applyBorder="1" applyAlignment="1">
      <alignment horizontal="left" vertical="center" wrapText="1"/>
    </xf>
    <xf numFmtId="1" fontId="4" fillId="6" borderId="3" xfId="0" applyNumberFormat="1" applyFont="1" applyFill="1" applyBorder="1" applyAlignment="1">
      <alignment horizontal="left" vertical="center" wrapText="1"/>
    </xf>
    <xf numFmtId="0" fontId="4" fillId="21" borderId="3" xfId="0" applyFont="1" applyFill="1" applyBorder="1" applyAlignment="1">
      <alignment horizontal="left" vertical="center" wrapText="1"/>
    </xf>
    <xf numFmtId="164" fontId="4" fillId="21" borderId="3" xfId="0" applyNumberFormat="1" applyFont="1" applyFill="1" applyBorder="1" applyAlignment="1">
      <alignment horizontal="left" vertical="center" wrapText="1"/>
    </xf>
    <xf numFmtId="165" fontId="4" fillId="21" borderId="3" xfId="0" applyNumberFormat="1" applyFont="1" applyFill="1" applyBorder="1" applyAlignment="1">
      <alignment horizontal="left" vertical="center" wrapText="1"/>
    </xf>
    <xf numFmtId="165" fontId="4" fillId="21" borderId="1" xfId="0" applyNumberFormat="1" applyFont="1" applyFill="1" applyBorder="1" applyAlignment="1">
      <alignment horizontal="left" vertical="center" wrapText="1"/>
    </xf>
    <xf numFmtId="1" fontId="4" fillId="21" borderId="3" xfId="0" applyNumberFormat="1" applyFont="1" applyFill="1" applyBorder="1" applyAlignment="1">
      <alignment horizontal="left" vertical="center" wrapText="1"/>
    </xf>
    <xf numFmtId="0" fontId="4" fillId="22" borderId="3" xfId="0" applyFont="1" applyFill="1" applyBorder="1" applyAlignment="1">
      <alignment horizontal="left" vertical="center" wrapText="1"/>
    </xf>
    <xf numFmtId="164" fontId="4" fillId="22" borderId="3" xfId="0" applyNumberFormat="1" applyFont="1" applyFill="1" applyBorder="1" applyAlignment="1">
      <alignment horizontal="left" vertical="center" wrapText="1"/>
    </xf>
    <xf numFmtId="165" fontId="4" fillId="22" borderId="3" xfId="0" applyNumberFormat="1" applyFont="1" applyFill="1" applyBorder="1" applyAlignment="1">
      <alignment horizontal="left" vertical="center" wrapText="1"/>
    </xf>
    <xf numFmtId="165" fontId="4" fillId="22" borderId="1" xfId="0" applyNumberFormat="1" applyFont="1" applyFill="1" applyBorder="1" applyAlignment="1">
      <alignment horizontal="left" vertical="center" wrapText="1"/>
    </xf>
    <xf numFmtId="1" fontId="4" fillId="22" borderId="3" xfId="0" applyNumberFormat="1" applyFont="1" applyFill="1" applyBorder="1" applyAlignment="1">
      <alignment horizontal="left" vertical="center" wrapText="1"/>
    </xf>
    <xf numFmtId="0" fontId="4" fillId="23" borderId="3" xfId="0" applyFont="1" applyFill="1" applyBorder="1" applyAlignment="1">
      <alignment horizontal="left" vertical="center" wrapText="1"/>
    </xf>
    <xf numFmtId="164" fontId="4" fillId="23" borderId="3" xfId="0" applyNumberFormat="1" applyFont="1" applyFill="1" applyBorder="1" applyAlignment="1">
      <alignment horizontal="left" vertical="center" wrapText="1"/>
    </xf>
    <xf numFmtId="165" fontId="4" fillId="23" borderId="3" xfId="0" applyNumberFormat="1" applyFont="1" applyFill="1" applyBorder="1" applyAlignment="1">
      <alignment horizontal="left" vertical="center" wrapText="1"/>
    </xf>
    <xf numFmtId="165" fontId="4" fillId="23" borderId="1" xfId="0" applyNumberFormat="1" applyFont="1" applyFill="1" applyBorder="1" applyAlignment="1">
      <alignment horizontal="left" vertical="center" wrapText="1"/>
    </xf>
    <xf numFmtId="1" fontId="4" fillId="23" borderId="3" xfId="0" applyNumberFormat="1" applyFont="1" applyFill="1" applyBorder="1" applyAlignment="1">
      <alignment horizontal="left" vertical="center" wrapText="1"/>
    </xf>
  </cellXfs>
  <cellStyles count="6">
    <cellStyle name="Hipervínculo" xfId="1" builtinId="8" hidden="1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Normal 2" xfId="5" xr:uid="{00000000-0005-0000-0000-000005000000}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0" justifyLastLine="0" shrinkToFit="0" readingOrder="0"/>
    </dxf>
    <dxf>
      <border outline="0">
        <top style="thin">
          <color theme="0" tint="-0.249977111117893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1033"/>
        <name val="Century Gothic"/>
        <family val="1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Medium4"/>
  <colors>
    <mruColors>
      <color rgb="FF001033"/>
      <color rgb="FF007134"/>
      <color rgb="FF03C15A"/>
      <color rgb="FFD1EEFF"/>
      <color rgb="FFEAEEF3"/>
      <color rgb="FFADC006"/>
      <color rgb="FFB3E481"/>
      <color rgb="FFA2D0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'Example - Project Plan Template'!$F$7</c:f>
              <c:strCache>
                <c:ptCount val="1"/>
                <c:pt idx="0">
                  <c:v>Fecha 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'Example - Project Plan Template'!$C$8:$C$62</c:f>
              <c:strCache>
                <c:ptCount val="55"/>
                <c:pt idx="0">
                  <c:v>Concepción e Inicio del Proyecto</c:v>
                </c:pt>
                <c:pt idx="1">
                  <c:v>1. Inicio y definición del proyecto</c:v>
                </c:pt>
                <c:pt idx="2">
                  <c:v>Identificar stakeholders del proyecto</c:v>
                </c:pt>
                <c:pt idx="3">
                  <c:v>Definir problema a resolver</c:v>
                </c:pt>
                <c:pt idx="4">
                  <c:v>Definir alcance del proyecto</c:v>
                </c:pt>
                <c:pt idx="5">
                  <c:v>Definir objetivos generales del sistema</c:v>
                </c:pt>
                <c:pt idx="6">
                  <c:v>Definir objetivos específicos</c:v>
                </c:pt>
                <c:pt idx="7">
                  <c:v>Definir restricciones del proyecto (tiempo, tecnología, recursos)</c:v>
                </c:pt>
                <c:pt idx="8">
                  <c:v>Definir entregables del proyecto</c:v>
                </c:pt>
                <c:pt idx="9">
                  <c:v>Elaborar documento de visión del sistema</c:v>
                </c:pt>
                <c:pt idx="10">
                  <c:v>Validar alcance con el equipo y docente</c:v>
                </c:pt>
                <c:pt idx="11">
                  <c:v>Análisis de requerimientos</c:v>
                </c:pt>
                <c:pt idx="12">
                  <c:v>Requerimientos funcionales</c:v>
                </c:pt>
                <c:pt idx="13">
                  <c:v>Identificar actores del sistema</c:v>
                </c:pt>
                <c:pt idx="14">
                  <c:v>Definir casos de uso principales</c:v>
                </c:pt>
                <c:pt idx="15">
                  <c:v>Documentar casos de uso del sistema</c:v>
                </c:pt>
                <c:pt idx="16">
                  <c:v>Definir flujo principal de cada caso de uso</c:v>
                </c:pt>
                <c:pt idx="17">
                  <c:v>Definir flujos alternativos</c:v>
                </c:pt>
                <c:pt idx="18">
                  <c:v>Priorizar requerimientos funcionales</c:v>
                </c:pt>
                <c:pt idx="19">
                  <c:v>Validar requerimientos con el equipo</c:v>
                </c:pt>
                <c:pt idx="20">
                  <c:v>Requerimientos no funcionales</c:v>
                </c:pt>
                <c:pt idx="21">
                  <c:v>Definir requerimientos de seguridad</c:v>
                </c:pt>
                <c:pt idx="22">
                  <c:v>Definir requerimientos de rendimiento</c:v>
                </c:pt>
                <c:pt idx="23">
                  <c:v>Definir requerimientos de disponibilidad</c:v>
                </c:pt>
                <c:pt idx="24">
                  <c:v>Definir requerimientos de usabilidad</c:v>
                </c:pt>
                <c:pt idx="25">
                  <c:v>Definir requerimientos de escalabilidad</c:v>
                </c:pt>
                <c:pt idx="26">
                  <c:v>Definir requerimientos de compatibilidad</c:v>
                </c:pt>
                <c:pt idx="27">
                  <c:v>Documentar estándares de desarrollo</c:v>
                </c:pt>
                <c:pt idx="28">
                  <c:v>Diseño del sistema</c:v>
                </c:pt>
                <c:pt idx="29">
                  <c:v>Modelado de datos</c:v>
                </c:pt>
                <c:pt idx="30">
                  <c:v>Identificar entidades principales del sistema</c:v>
                </c:pt>
                <c:pt idx="31">
                  <c:v>Definir atributos de cada entidad</c:v>
                </c:pt>
                <c:pt idx="32">
                  <c:v>Definir relaciones entre entidades</c:v>
                </c:pt>
                <c:pt idx="33">
                  <c:v>Diseñar modelo conceptual de datos</c:v>
                </c:pt>
                <c:pt idx="34">
                  <c:v>Diseñar modelo lógico de base de datos</c:v>
                </c:pt>
                <c:pt idx="35">
                  <c:v>Normalizar tablas</c:v>
                </c:pt>
                <c:pt idx="36">
                  <c:v>Diseñar modelo físico de base de datos</c:v>
                </c:pt>
                <c:pt idx="37">
                  <c:v>Definir claves primarias</c:v>
                </c:pt>
                <c:pt idx="38">
                  <c:v>Definir claves foráneas</c:v>
                </c:pt>
                <c:pt idx="39">
                  <c:v>Arquitectura del sistema</c:v>
                </c:pt>
                <c:pt idx="40">
                  <c:v>Seleccionar arquitectura del sistema</c:v>
                </c:pt>
                <c:pt idx="41">
                  <c:v>Diseñar arquitectura en capas (MVC)</c:v>
                </c:pt>
                <c:pt idx="42">
                  <c:v>Definir estructura del backend</c:v>
                </c:pt>
                <c:pt idx="43">
                  <c:v>Definir estructura del frontend</c:v>
                </c:pt>
                <c:pt idx="44">
                  <c:v>Definir patrón de acceso a datos</c:v>
                </c:pt>
                <c:pt idx="45">
                  <c:v>Definir estructura de API REST</c:v>
                </c:pt>
                <c:pt idx="46">
                  <c:v>Diseñar diagrama de componentes</c:v>
                </c:pt>
                <c:pt idx="47">
                  <c:v>Diseñar diagrama de despliegue</c:v>
                </c:pt>
                <c:pt idx="48">
                  <c:v>4. Configuración del entorno de desarrollo</c:v>
                </c:pt>
                <c:pt idx="49">
                  <c:v>Instalar herramientas de desarrollo</c:v>
                </c:pt>
                <c:pt idx="50">
                  <c:v>Configurar repositorio de control de versiones</c:v>
                </c:pt>
                <c:pt idx="51">
                  <c:v>Configurar entorno de desarrollo (.NET / C#)</c:v>
                </c:pt>
                <c:pt idx="52">
                  <c:v>Configurar SQL Server</c:v>
                </c:pt>
                <c:pt idx="53">
                  <c:v>Crear base de datos inicial</c:v>
                </c:pt>
                <c:pt idx="54">
                  <c:v>Configurar conexión a la base de datos</c:v>
                </c:pt>
              </c:strCache>
            </c:strRef>
          </c:cat>
          <c:val>
            <c:numRef>
              <c:f>'Example - Project Plan Template'!$F$8:$F$62</c:f>
              <c:numCache>
                <c:formatCode>mm/dd</c:formatCode>
                <c:ptCount val="55"/>
                <c:pt idx="0">
                  <c:v>46205</c:v>
                </c:pt>
                <c:pt idx="1">
                  <c:v>46205</c:v>
                </c:pt>
                <c:pt idx="2">
                  <c:v>46205</c:v>
                </c:pt>
                <c:pt idx="3">
                  <c:v>46205</c:v>
                </c:pt>
                <c:pt idx="4">
                  <c:v>46205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General">
                  <c:v>0</c:v>
                </c:pt>
                <c:pt idx="10" formatCode="m/d/yyyy">
                  <c:v>46206</c:v>
                </c:pt>
                <c:pt idx="11">
                  <c:v>46329</c:v>
                </c:pt>
                <c:pt idx="12">
                  <c:v>46329</c:v>
                </c:pt>
                <c:pt idx="13">
                  <c:v>46329</c:v>
                </c:pt>
                <c:pt idx="14">
                  <c:v>46329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m/d/yyyy">
                  <c:v>46116</c:v>
                </c:pt>
                <c:pt idx="28">
                  <c:v>46330</c:v>
                </c:pt>
                <c:pt idx="29">
                  <c:v>46330</c:v>
                </c:pt>
                <c:pt idx="30">
                  <c:v>46330</c:v>
                </c:pt>
                <c:pt idx="31">
                  <c:v>46330</c:v>
                </c:pt>
                <c:pt idx="32">
                  <c:v>46330</c:v>
                </c:pt>
                <c:pt idx="33">
                  <c:v>46330</c:v>
                </c:pt>
                <c:pt idx="34">
                  <c:v>46330</c:v>
                </c:pt>
                <c:pt idx="35">
                  <c:v>46331</c:v>
                </c:pt>
                <c:pt idx="36">
                  <c:v>46332</c:v>
                </c:pt>
                <c:pt idx="37">
                  <c:v>46333</c:v>
                </c:pt>
                <c:pt idx="38">
                  <c:v>46334</c:v>
                </c:pt>
                <c:pt idx="39">
                  <c:v>46335</c:v>
                </c:pt>
                <c:pt idx="40">
                  <c:v>46336</c:v>
                </c:pt>
                <c:pt idx="41">
                  <c:v>46337</c:v>
                </c:pt>
                <c:pt idx="42">
                  <c:v>46338</c:v>
                </c:pt>
                <c:pt idx="43">
                  <c:v>46339</c:v>
                </c:pt>
                <c:pt idx="44">
                  <c:v>46340</c:v>
                </c:pt>
                <c:pt idx="45">
                  <c:v>46341</c:v>
                </c:pt>
                <c:pt idx="46">
                  <c:v>46342</c:v>
                </c:pt>
                <c:pt idx="47">
                  <c:v>46343</c:v>
                </c:pt>
                <c:pt idx="48" formatCode="m/d;@">
                  <c:v>46344</c:v>
                </c:pt>
                <c:pt idx="49">
                  <c:v>46345</c:v>
                </c:pt>
                <c:pt idx="50">
                  <c:v>46346</c:v>
                </c:pt>
                <c:pt idx="51">
                  <c:v>46347</c:v>
                </c:pt>
                <c:pt idx="52">
                  <c:v>46348</c:v>
                </c:pt>
                <c:pt idx="53">
                  <c:v>46349</c:v>
                </c:pt>
                <c:pt idx="54">
                  <c:v>46350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D-A44D-94B3-9A6869E3CD9F}"/>
            </c:ext>
          </c:extLst>
        </c:ser>
        <c:ser>
          <c:idx val="1"/>
          <c:order val="1"/>
          <c:tx>
            <c:strRef>
              <c:f>'Example - Project Plan Template'!$H$7</c:f>
              <c:strCache>
                <c:ptCount val="1"/>
                <c:pt idx="0">
                  <c:v>Duración (en días)</c:v>
                </c:pt>
              </c:strCache>
            </c:strRef>
          </c:tx>
          <c:spPr>
            <a:solidFill>
              <a:srgbClr val="03C15A">
                <a:alpha val="79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C3D-A44D-94B3-9A6869E3CD9F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C3D-A44D-94B3-9A6869E3CD9F}"/>
              </c:ext>
            </c:extLst>
          </c:dPt>
          <c:dPt>
            <c:idx val="2"/>
            <c:invertIfNegative val="0"/>
            <c:bubble3D val="0"/>
            <c:spPr>
              <a:solidFill>
                <a:srgbClr val="D1EEFF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C3D-A44D-94B3-9A6869E3CD9F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C3D-A44D-94B3-9A6869E3CD9F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C3D-A44D-94B3-9A6869E3CD9F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C3D-A44D-94B3-9A6869E3CD9F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C3D-A44D-94B3-9A6869E3CD9F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C3D-A44D-94B3-9A6869E3CD9F}"/>
              </c:ext>
            </c:extLst>
          </c:dPt>
          <c:dPt>
            <c:idx val="11"/>
            <c:invertIfNegative val="0"/>
            <c:bubble3D val="0"/>
            <c:spPr>
              <a:solidFill>
                <a:srgbClr val="007134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C3D-A44D-94B3-9A6869E3CD9F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5C3D-A44D-94B3-9A6869E3CD9F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5C3D-A44D-94B3-9A6869E3CD9F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5C3D-A44D-94B3-9A6869E3CD9F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5C3D-A44D-94B3-9A6869E3CD9F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4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BD7A-C64A-8378-D8C2DF30004B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BD7A-C64A-8378-D8C2DF30004B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BD7A-C64A-8378-D8C2DF30004B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BD7A-C64A-8378-D8C2DF30004B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BD7A-C64A-8378-D8C2DF30004B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8C78-4168-9474-03D6B75AEA57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8C78-4168-9474-03D6B75AEA57}"/>
              </c:ext>
            </c:extLst>
          </c:dPt>
          <c:dPt>
            <c:idx val="48"/>
            <c:invertIfNegative val="0"/>
            <c:bubble3D val="0"/>
            <c:spPr>
              <a:solidFill>
                <a:schemeClr val="bg1">
                  <a:lumMod val="5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D4C3-463B-99B9-2DBEDD7DF854}"/>
              </c:ext>
            </c:extLst>
          </c:dPt>
          <c:dPt>
            <c:idx val="49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D4C3-463B-99B9-2DBEDD7DF854}"/>
              </c:ext>
            </c:extLst>
          </c:dPt>
          <c:dPt>
            <c:idx val="50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D4C3-463B-99B9-2DBEDD7DF854}"/>
              </c:ext>
            </c:extLst>
          </c:dPt>
          <c:dPt>
            <c:idx val="51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D4C3-463B-99B9-2DBEDD7DF854}"/>
              </c:ext>
            </c:extLst>
          </c:dPt>
          <c:dPt>
            <c:idx val="52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2867-4DD9-9219-7D47CE36D193}"/>
              </c:ext>
            </c:extLst>
          </c:dPt>
          <c:cat>
            <c:strRef>
              <c:f>'Example - Project Plan Template'!$C$8:$C$62</c:f>
              <c:strCache>
                <c:ptCount val="55"/>
                <c:pt idx="0">
                  <c:v>Concepción e Inicio del Proyecto</c:v>
                </c:pt>
                <c:pt idx="1">
                  <c:v>1. Inicio y definición del proyecto</c:v>
                </c:pt>
                <c:pt idx="2">
                  <c:v>Identificar stakeholders del proyecto</c:v>
                </c:pt>
                <c:pt idx="3">
                  <c:v>Definir problema a resolver</c:v>
                </c:pt>
                <c:pt idx="4">
                  <c:v>Definir alcance del proyecto</c:v>
                </c:pt>
                <c:pt idx="5">
                  <c:v>Definir objetivos generales del sistema</c:v>
                </c:pt>
                <c:pt idx="6">
                  <c:v>Definir objetivos específicos</c:v>
                </c:pt>
                <c:pt idx="7">
                  <c:v>Definir restricciones del proyecto (tiempo, tecnología, recursos)</c:v>
                </c:pt>
                <c:pt idx="8">
                  <c:v>Definir entregables del proyecto</c:v>
                </c:pt>
                <c:pt idx="9">
                  <c:v>Elaborar documento de visión del sistema</c:v>
                </c:pt>
                <c:pt idx="10">
                  <c:v>Validar alcance con el equipo y docente</c:v>
                </c:pt>
                <c:pt idx="11">
                  <c:v>Análisis de requerimientos</c:v>
                </c:pt>
                <c:pt idx="12">
                  <c:v>Requerimientos funcionales</c:v>
                </c:pt>
                <c:pt idx="13">
                  <c:v>Identificar actores del sistema</c:v>
                </c:pt>
                <c:pt idx="14">
                  <c:v>Definir casos de uso principales</c:v>
                </c:pt>
                <c:pt idx="15">
                  <c:v>Documentar casos de uso del sistema</c:v>
                </c:pt>
                <c:pt idx="16">
                  <c:v>Definir flujo principal de cada caso de uso</c:v>
                </c:pt>
                <c:pt idx="17">
                  <c:v>Definir flujos alternativos</c:v>
                </c:pt>
                <c:pt idx="18">
                  <c:v>Priorizar requerimientos funcionales</c:v>
                </c:pt>
                <c:pt idx="19">
                  <c:v>Validar requerimientos con el equipo</c:v>
                </c:pt>
                <c:pt idx="20">
                  <c:v>Requerimientos no funcionales</c:v>
                </c:pt>
                <c:pt idx="21">
                  <c:v>Definir requerimientos de seguridad</c:v>
                </c:pt>
                <c:pt idx="22">
                  <c:v>Definir requerimientos de rendimiento</c:v>
                </c:pt>
                <c:pt idx="23">
                  <c:v>Definir requerimientos de disponibilidad</c:v>
                </c:pt>
                <c:pt idx="24">
                  <c:v>Definir requerimientos de usabilidad</c:v>
                </c:pt>
                <c:pt idx="25">
                  <c:v>Definir requerimientos de escalabilidad</c:v>
                </c:pt>
                <c:pt idx="26">
                  <c:v>Definir requerimientos de compatibilidad</c:v>
                </c:pt>
                <c:pt idx="27">
                  <c:v>Documentar estándares de desarrollo</c:v>
                </c:pt>
                <c:pt idx="28">
                  <c:v>Diseño del sistema</c:v>
                </c:pt>
                <c:pt idx="29">
                  <c:v>Modelado de datos</c:v>
                </c:pt>
                <c:pt idx="30">
                  <c:v>Identificar entidades principales del sistema</c:v>
                </c:pt>
                <c:pt idx="31">
                  <c:v>Definir atributos de cada entidad</c:v>
                </c:pt>
                <c:pt idx="32">
                  <c:v>Definir relaciones entre entidades</c:v>
                </c:pt>
                <c:pt idx="33">
                  <c:v>Diseñar modelo conceptual de datos</c:v>
                </c:pt>
                <c:pt idx="34">
                  <c:v>Diseñar modelo lógico de base de datos</c:v>
                </c:pt>
                <c:pt idx="35">
                  <c:v>Normalizar tablas</c:v>
                </c:pt>
                <c:pt idx="36">
                  <c:v>Diseñar modelo físico de base de datos</c:v>
                </c:pt>
                <c:pt idx="37">
                  <c:v>Definir claves primarias</c:v>
                </c:pt>
                <c:pt idx="38">
                  <c:v>Definir claves foráneas</c:v>
                </c:pt>
                <c:pt idx="39">
                  <c:v>Arquitectura del sistema</c:v>
                </c:pt>
                <c:pt idx="40">
                  <c:v>Seleccionar arquitectura del sistema</c:v>
                </c:pt>
                <c:pt idx="41">
                  <c:v>Diseñar arquitectura en capas (MVC)</c:v>
                </c:pt>
                <c:pt idx="42">
                  <c:v>Definir estructura del backend</c:v>
                </c:pt>
                <c:pt idx="43">
                  <c:v>Definir estructura del frontend</c:v>
                </c:pt>
                <c:pt idx="44">
                  <c:v>Definir patrón de acceso a datos</c:v>
                </c:pt>
                <c:pt idx="45">
                  <c:v>Definir estructura de API REST</c:v>
                </c:pt>
                <c:pt idx="46">
                  <c:v>Diseñar diagrama de componentes</c:v>
                </c:pt>
                <c:pt idx="47">
                  <c:v>Diseñar diagrama de despliegue</c:v>
                </c:pt>
                <c:pt idx="48">
                  <c:v>4. Configuración del entorno de desarrollo</c:v>
                </c:pt>
                <c:pt idx="49">
                  <c:v>Instalar herramientas de desarrollo</c:v>
                </c:pt>
                <c:pt idx="50">
                  <c:v>Configurar repositorio de control de versiones</c:v>
                </c:pt>
                <c:pt idx="51">
                  <c:v>Configurar entorno de desarrollo (.NET / C#)</c:v>
                </c:pt>
                <c:pt idx="52">
                  <c:v>Configurar SQL Server</c:v>
                </c:pt>
                <c:pt idx="53">
                  <c:v>Crear base de datos inicial</c:v>
                </c:pt>
                <c:pt idx="54">
                  <c:v>Configurar conexión a la base de datos</c:v>
                </c:pt>
              </c:strCache>
            </c:strRef>
          </c:cat>
          <c:val>
            <c:numRef>
              <c:f>'Example - Project Plan Template'!$H$8:$H$62</c:f>
              <c:numCache>
                <c:formatCode>0</c:formatCode>
                <c:ptCount val="5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C3D-A44D-94B3-9A6869E3C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61457152"/>
        <c:axId val="61458688"/>
      </c:barChart>
      <c:catAx>
        <c:axId val="61457152"/>
        <c:scaling>
          <c:orientation val="maxMin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O"/>
          </a:p>
        </c:txPr>
        <c:crossAx val="61458688"/>
        <c:crosses val="max"/>
        <c:auto val="1"/>
        <c:lblAlgn val="ctr"/>
        <c:lblOffset val="100"/>
        <c:noMultiLvlLbl val="0"/>
      </c:catAx>
      <c:valAx>
        <c:axId val="61458688"/>
        <c:scaling>
          <c:orientation val="minMax"/>
          <c:max val="45800"/>
          <c:min val="45700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dd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O"/>
          </a:p>
        </c:txPr>
        <c:crossAx val="61457152"/>
        <c:crosses val="autoZero"/>
        <c:crossBetween val="between"/>
        <c:majorUnit val="5"/>
      </c:valAx>
      <c:spPr>
        <a:noFill/>
      </c:spPr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41275</xdr:colOff>
      <xdr:row>145</xdr:row>
      <xdr:rowOff>38100</xdr:rowOff>
    </xdr:from>
    <xdr:to>
      <xdr:col>8</xdr:col>
      <xdr:colOff>3660775</xdr:colOff>
      <xdr:row>191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011292-4B6C-4639-B01E-5A3C94B562E6}" name="Tabla1" displayName="Tabla1" ref="B7:I144" totalsRowShown="0" headerRowDxfId="10" dataDxfId="9" tableBorderDxfId="8">
  <autoFilter ref="B7:I144" xr:uid="{C8011292-4B6C-4639-B01E-5A3C94B562E6}"/>
  <tableColumns count="8">
    <tableColumn id="1" xr3:uid="{065211C4-93C1-4F25-B92C-A08FE1AEF0C3}" name="WBS No." dataDxfId="7"/>
    <tableColumn id="2" xr3:uid="{0D317E8C-76BE-4ED2-85AD-CCA2A2668125}" name="Nombre de la tarea" dataDxfId="6"/>
    <tableColumn id="3" xr3:uid="{0918F8EE-F32A-4A42-890F-F0B3E3071CBF}" name="Estado" dataDxfId="5"/>
    <tableColumn id="4" xr3:uid="{C8A14B2C-F2A1-424C-B4B5-9C8A64921074}" name="Asignado a" dataDxfId="4"/>
    <tableColumn id="5" xr3:uid="{105E25F7-73F0-472B-83F1-BB14FB69F157}" name="Fecha  inicio" dataDxfId="3"/>
    <tableColumn id="6" xr3:uid="{84723C1E-7E03-40BE-A4DD-C51E7A0E2DC1}" name="Fecha fin" dataDxfId="2"/>
    <tableColumn id="7" xr3:uid="{F1EDE402-34AE-4E95-9100-4ECD6F942C26}" name="Duración (en días)" dataDxfId="1"/>
    <tableColumn id="8" xr3:uid="{C9BC00C5-0C31-4910-8D1A-7F162B7BE693}" name="Comentario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B1:K144"/>
  <sheetViews>
    <sheetView showGridLines="0" tabSelected="1" zoomScale="70" zoomScaleNormal="70" workbookViewId="0">
      <pane ySplit="1" topLeftCell="A2" activePane="bottomLeft" state="frozen"/>
      <selection pane="bottomLeft" activeCell="B2" sqref="B2"/>
    </sheetView>
  </sheetViews>
  <sheetFormatPr defaultColWidth="11" defaultRowHeight="13.15" outlineLevelRow="1"/>
  <cols>
    <col min="1" max="1" width="3.375" style="4" customWidth="1"/>
    <col min="2" max="2" width="9.875" style="4" customWidth="1"/>
    <col min="3" max="3" width="57" style="4" bestFit="1" customWidth="1"/>
    <col min="4" max="4" width="12.875" style="4" customWidth="1"/>
    <col min="5" max="5" width="20.875" style="4" customWidth="1"/>
    <col min="6" max="7" width="10.875" style="4" customWidth="1"/>
    <col min="8" max="8" width="15.125" style="4" customWidth="1"/>
    <col min="9" max="9" width="50.875" style="4" customWidth="1"/>
    <col min="10" max="10" width="3.375" style="4" customWidth="1"/>
    <col min="11" max="11" width="12.875" style="4" customWidth="1"/>
    <col min="12" max="17" width="11" style="4"/>
    <col min="18" max="18" width="9" style="4" customWidth="1"/>
    <col min="19" max="16384" width="11" style="4"/>
  </cols>
  <sheetData>
    <row r="1" spans="2:11" ht="57" customHeight="1">
      <c r="B1" s="30" t="s">
        <v>0</v>
      </c>
      <c r="D1"/>
      <c r="E1"/>
      <c r="F1"/>
      <c r="G1"/>
      <c r="H1"/>
      <c r="I1"/>
      <c r="J1" s="1"/>
      <c r="K1"/>
    </row>
    <row r="2" spans="2:11" s="14" customFormat="1" ht="18" customHeight="1">
      <c r="B2" s="13"/>
      <c r="C2" s="13" t="s">
        <v>1</v>
      </c>
      <c r="D2" s="13"/>
      <c r="E2" s="13" t="s">
        <v>2</v>
      </c>
      <c r="F2" s="13"/>
      <c r="G2" s="13"/>
      <c r="H2" s="13"/>
      <c r="I2" s="13"/>
      <c r="J2" s="13"/>
      <c r="K2" s="13"/>
    </row>
    <row r="3" spans="2:11" ht="30" customHeight="1" thickBot="1">
      <c r="B3" s="1"/>
      <c r="C3" s="15" t="s">
        <v>3</v>
      </c>
      <c r="D3" s="1"/>
      <c r="E3" s="37">
        <v>46205</v>
      </c>
      <c r="F3" s="1"/>
      <c r="G3" s="1"/>
      <c r="H3" s="1" t="s">
        <v>4</v>
      </c>
      <c r="I3" s="1"/>
      <c r="J3" s="1"/>
      <c r="K3" s="1"/>
    </row>
    <row r="4" spans="2:11" s="14" customFormat="1" ht="18" customHeight="1" thickBot="1">
      <c r="B4" s="13"/>
      <c r="C4" s="16" t="s">
        <v>5</v>
      </c>
      <c r="D4" s="13"/>
      <c r="E4" s="16" t="s">
        <v>6</v>
      </c>
      <c r="F4" s="13"/>
      <c r="G4" s="13"/>
      <c r="H4" s="13" t="s">
        <v>7</v>
      </c>
      <c r="I4" s="13"/>
      <c r="J4" s="13"/>
      <c r="K4" s="13"/>
    </row>
    <row r="5" spans="2:11" ht="30" customHeight="1" thickBot="1">
      <c r="B5" s="1"/>
      <c r="C5" s="27" t="s">
        <v>8</v>
      </c>
      <c r="D5" s="1"/>
      <c r="E5" s="28"/>
      <c r="F5" s="1"/>
      <c r="G5" s="1"/>
      <c r="H5" s="29">
        <f>IF(E3=0,0,E5-E3)+1</f>
        <v>-46204</v>
      </c>
      <c r="I5" s="1"/>
      <c r="J5" s="1"/>
      <c r="K5" s="1"/>
    </row>
    <row r="6" spans="2:11">
      <c r="B6" s="1"/>
      <c r="C6" s="1"/>
      <c r="D6" s="1"/>
      <c r="E6" s="17"/>
      <c r="F6" s="1"/>
      <c r="G6" s="1"/>
      <c r="H6" s="17"/>
      <c r="I6" s="1"/>
      <c r="J6" s="1"/>
      <c r="K6" s="1"/>
    </row>
    <row r="7" spans="2:11" s="8" customFormat="1" ht="35.1" customHeight="1">
      <c r="B7" s="38" t="s">
        <v>9</v>
      </c>
      <c r="C7" s="38" t="s">
        <v>10</v>
      </c>
      <c r="D7" s="38" t="s">
        <v>11</v>
      </c>
      <c r="E7" s="38" t="s">
        <v>12</v>
      </c>
      <c r="F7" s="39" t="s">
        <v>13</v>
      </c>
      <c r="G7" s="40" t="s">
        <v>14</v>
      </c>
      <c r="H7" s="38" t="s">
        <v>15</v>
      </c>
      <c r="I7" s="38" t="s">
        <v>16</v>
      </c>
      <c r="J7" s="7"/>
      <c r="K7" s="33" t="s">
        <v>11</v>
      </c>
    </row>
    <row r="8" spans="2:11" s="6" customFormat="1" ht="24.95" customHeight="1">
      <c r="B8" s="18">
        <v>1</v>
      </c>
      <c r="C8" s="34" t="s">
        <v>17</v>
      </c>
      <c r="D8" s="19"/>
      <c r="E8" s="19"/>
      <c r="F8" s="20">
        <v>46205</v>
      </c>
      <c r="G8" s="20">
        <v>46205</v>
      </c>
      <c r="H8" s="21">
        <f>IF(F8=0,0,G8-F8)+1</f>
        <v>1</v>
      </c>
      <c r="I8" s="22"/>
      <c r="J8" s="5"/>
      <c r="K8" s="32" t="s">
        <v>18</v>
      </c>
    </row>
    <row r="9" spans="2:11" s="6" customFormat="1" ht="24.95" customHeight="1" outlineLevel="1">
      <c r="B9" s="2" t="s">
        <v>19</v>
      </c>
      <c r="C9" s="9" t="s">
        <v>20</v>
      </c>
      <c r="D9" s="35" t="s">
        <v>21</v>
      </c>
      <c r="E9" s="3" t="s">
        <v>22</v>
      </c>
      <c r="F9" s="23">
        <v>46205</v>
      </c>
      <c r="G9" s="23">
        <v>46205</v>
      </c>
      <c r="H9" s="26">
        <f>IF(F9=0,0,G9-F9)+1</f>
        <v>1</v>
      </c>
      <c r="I9" s="2" t="s">
        <v>23</v>
      </c>
      <c r="J9" s="5"/>
      <c r="K9" s="31" t="s">
        <v>24</v>
      </c>
    </row>
    <row r="10" spans="2:11" s="6" customFormat="1" ht="24.95" customHeight="1" outlineLevel="1">
      <c r="B10" s="2" t="s">
        <v>25</v>
      </c>
      <c r="C10" s="10" t="s">
        <v>26</v>
      </c>
      <c r="D10" s="35" t="s">
        <v>21</v>
      </c>
      <c r="E10" s="3" t="s">
        <v>22</v>
      </c>
      <c r="F10" s="23">
        <v>46205</v>
      </c>
      <c r="G10" s="23">
        <v>46205</v>
      </c>
      <c r="H10" s="26">
        <f t="shared" ref="H10:H18" si="0">IF(F10=0,0,G10-F10)+1</f>
        <v>1</v>
      </c>
      <c r="I10" s="2" t="s">
        <v>27</v>
      </c>
      <c r="J10" s="5"/>
      <c r="K10" s="35" t="s">
        <v>21</v>
      </c>
    </row>
    <row r="11" spans="2:11" s="6" customFormat="1" ht="24.95" customHeight="1" outlineLevel="1">
      <c r="B11" s="2" t="s">
        <v>28</v>
      </c>
      <c r="C11" s="9" t="s">
        <v>29</v>
      </c>
      <c r="D11" s="35" t="s">
        <v>21</v>
      </c>
      <c r="E11" s="3" t="s">
        <v>22</v>
      </c>
      <c r="F11" s="23">
        <v>46205</v>
      </c>
      <c r="G11" s="23">
        <v>46205</v>
      </c>
      <c r="H11" s="26">
        <f t="shared" si="0"/>
        <v>1</v>
      </c>
      <c r="I11" s="2" t="s">
        <v>30</v>
      </c>
      <c r="J11" s="5"/>
      <c r="K11" s="36" t="s">
        <v>31</v>
      </c>
    </row>
    <row r="12" spans="2:11" s="6" customFormat="1" ht="24.95" customHeight="1" outlineLevel="1">
      <c r="B12" s="2">
        <v>1.2</v>
      </c>
      <c r="C12" s="9" t="s">
        <v>32</v>
      </c>
      <c r="D12" s="35" t="s">
        <v>21</v>
      </c>
      <c r="E12" s="3" t="s">
        <v>22</v>
      </c>
      <c r="F12" s="23">
        <v>46205</v>
      </c>
      <c r="G12" s="23">
        <v>46205</v>
      </c>
      <c r="H12" s="26">
        <f t="shared" si="0"/>
        <v>1</v>
      </c>
      <c r="I12" s="2" t="s">
        <v>33</v>
      </c>
      <c r="J12" s="5"/>
      <c r="K12" s="1"/>
    </row>
    <row r="13" spans="2:11" s="6" customFormat="1" ht="24.95" customHeight="1" outlineLevel="1">
      <c r="B13" s="2">
        <v>1.3</v>
      </c>
      <c r="C13" s="9" t="s">
        <v>34</v>
      </c>
      <c r="D13" s="35" t="s">
        <v>21</v>
      </c>
      <c r="E13" s="3" t="s">
        <v>22</v>
      </c>
      <c r="F13" s="23" t="s">
        <v>35</v>
      </c>
      <c r="G13" s="23" t="s">
        <v>35</v>
      </c>
      <c r="H13" s="26">
        <v>1</v>
      </c>
      <c r="I13" s="2" t="s">
        <v>36</v>
      </c>
      <c r="J13" s="5"/>
      <c r="K13" s="1"/>
    </row>
    <row r="14" spans="2:11" s="6" customFormat="1" ht="24.95" customHeight="1" outlineLevel="1">
      <c r="B14" s="2">
        <v>1.4</v>
      </c>
      <c r="C14" s="9" t="s">
        <v>37</v>
      </c>
      <c r="D14" s="35" t="s">
        <v>21</v>
      </c>
      <c r="E14" s="3" t="s">
        <v>22</v>
      </c>
      <c r="F14" s="23" t="s">
        <v>38</v>
      </c>
      <c r="G14" s="24" t="s">
        <v>35</v>
      </c>
      <c r="H14" s="26">
        <v>1</v>
      </c>
      <c r="I14" s="2" t="s">
        <v>39</v>
      </c>
      <c r="J14" s="5"/>
      <c r="K14" s="1"/>
    </row>
    <row r="15" spans="2:11" s="6" customFormat="1" ht="24.95" customHeight="1" outlineLevel="1">
      <c r="B15" s="12">
        <v>1.5</v>
      </c>
      <c r="C15" s="11" t="s">
        <v>40</v>
      </c>
      <c r="D15" s="35" t="s">
        <v>21</v>
      </c>
      <c r="E15" s="3" t="s">
        <v>22</v>
      </c>
      <c r="F15" s="23" t="s">
        <v>41</v>
      </c>
      <c r="G15" s="25" t="s">
        <v>42</v>
      </c>
      <c r="H15" s="26">
        <v>1</v>
      </c>
      <c r="I15" s="12" t="s">
        <v>43</v>
      </c>
      <c r="J15" s="5"/>
      <c r="K15" s="1"/>
    </row>
    <row r="16" spans="2:11" s="6" customFormat="1" ht="24.95" customHeight="1">
      <c r="B16" s="2">
        <v>1.6</v>
      </c>
      <c r="C16" s="6" t="s">
        <v>44</v>
      </c>
      <c r="D16" s="35" t="s">
        <v>21</v>
      </c>
      <c r="E16" s="3" t="s">
        <v>22</v>
      </c>
      <c r="F16" s="23" t="s">
        <v>41</v>
      </c>
      <c r="G16" s="23" t="s">
        <v>41</v>
      </c>
      <c r="H16" s="26">
        <v>1</v>
      </c>
      <c r="I16" s="12" t="s">
        <v>45</v>
      </c>
      <c r="J16" s="5"/>
      <c r="K16" s="1"/>
    </row>
    <row r="17" spans="2:9" s="6" customFormat="1" ht="24.95" customHeight="1" outlineLevel="1">
      <c r="B17" s="2">
        <v>1.7</v>
      </c>
      <c r="C17" s="6" t="s">
        <v>46</v>
      </c>
      <c r="D17" s="35" t="s">
        <v>21</v>
      </c>
      <c r="E17" s="3" t="s">
        <v>22</v>
      </c>
      <c r="F17" s="6" t="s">
        <v>47</v>
      </c>
      <c r="G17" s="6" t="s">
        <v>47</v>
      </c>
      <c r="H17" s="26">
        <v>1</v>
      </c>
      <c r="I17" s="12" t="s">
        <v>48</v>
      </c>
    </row>
    <row r="18" spans="2:9" s="6" customFormat="1" ht="24.95" customHeight="1" outlineLevel="1">
      <c r="B18" s="2">
        <v>1.8</v>
      </c>
      <c r="C18" s="6" t="s">
        <v>49</v>
      </c>
      <c r="D18" s="35" t="s">
        <v>21</v>
      </c>
      <c r="E18" s="3" t="s">
        <v>22</v>
      </c>
      <c r="F18" s="54">
        <v>46206</v>
      </c>
      <c r="G18" s="54">
        <v>46206</v>
      </c>
      <c r="H18" s="26">
        <f t="shared" si="0"/>
        <v>1</v>
      </c>
      <c r="I18" s="12" t="s">
        <v>50</v>
      </c>
    </row>
    <row r="19" spans="2:9" s="6" customFormat="1" ht="24.95" customHeight="1" outlineLevel="1">
      <c r="B19" s="41">
        <v>2</v>
      </c>
      <c r="C19" s="41" t="s">
        <v>51</v>
      </c>
      <c r="D19" s="41"/>
      <c r="E19" s="44"/>
      <c r="F19" s="46">
        <v>46329</v>
      </c>
      <c r="G19" s="46">
        <v>46329</v>
      </c>
      <c r="H19" s="48">
        <f>IF(F19=0,0,G19-F19)+1</f>
        <v>1</v>
      </c>
      <c r="I19" s="41"/>
    </row>
    <row r="20" spans="2:9" s="6" customFormat="1" ht="24.95" customHeight="1" outlineLevel="1">
      <c r="B20" s="42">
        <v>2.1</v>
      </c>
      <c r="C20" s="43" t="s">
        <v>52</v>
      </c>
      <c r="D20" s="35" t="s">
        <v>21</v>
      </c>
      <c r="E20" s="45" t="s">
        <v>53</v>
      </c>
      <c r="F20" s="47">
        <v>46329</v>
      </c>
      <c r="G20" s="47">
        <v>46329</v>
      </c>
      <c r="H20" s="49">
        <f>IF(F20=0,0,G20-F20)+1</f>
        <v>1</v>
      </c>
      <c r="I20" s="42" t="s">
        <v>54</v>
      </c>
    </row>
    <row r="21" spans="2:9" s="6" customFormat="1" ht="24.95" customHeight="1">
      <c r="B21" s="42">
        <v>2.2000000000000002</v>
      </c>
      <c r="C21" s="43" t="s">
        <v>55</v>
      </c>
      <c r="D21" s="35" t="s">
        <v>21</v>
      </c>
      <c r="E21" s="45" t="s">
        <v>53</v>
      </c>
      <c r="F21" s="47">
        <v>46329</v>
      </c>
      <c r="G21" s="47">
        <v>46329</v>
      </c>
      <c r="H21" s="49">
        <f>IF(F21=0,0,G21-F21)+1</f>
        <v>1</v>
      </c>
      <c r="I21" s="42" t="s">
        <v>56</v>
      </c>
    </row>
    <row r="22" spans="2:9" s="6" customFormat="1" ht="24.95" customHeight="1" outlineLevel="1">
      <c r="B22" s="42">
        <v>2.2999999999999998</v>
      </c>
      <c r="C22" s="43" t="s">
        <v>57</v>
      </c>
      <c r="D22" s="35" t="s">
        <v>21</v>
      </c>
      <c r="E22" s="45" t="s">
        <v>53</v>
      </c>
      <c r="F22" s="47">
        <v>46329</v>
      </c>
      <c r="G22" s="47">
        <v>46329</v>
      </c>
      <c r="H22" s="49">
        <f>IF(F22=0,0,G22-F22)+1</f>
        <v>1</v>
      </c>
      <c r="I22" s="42" t="s">
        <v>58</v>
      </c>
    </row>
    <row r="23" spans="2:9" s="6" customFormat="1" ht="24.95" customHeight="1" outlineLevel="1">
      <c r="B23" s="50">
        <v>2.4</v>
      </c>
      <c r="C23" s="51" t="s">
        <v>59</v>
      </c>
      <c r="D23" s="50" t="s">
        <v>18</v>
      </c>
      <c r="E23" s="52" t="s">
        <v>53</v>
      </c>
      <c r="F23" s="53" t="s">
        <v>60</v>
      </c>
      <c r="G23" s="53" t="s">
        <v>61</v>
      </c>
      <c r="H23" s="49">
        <v>7</v>
      </c>
      <c r="I23" s="50" t="s">
        <v>62</v>
      </c>
    </row>
    <row r="24" spans="2:9" s="6" customFormat="1" ht="24.95" customHeight="1" outlineLevel="1">
      <c r="B24" s="50">
        <v>2.5</v>
      </c>
      <c r="C24" s="6" t="s">
        <v>63</v>
      </c>
      <c r="D24" s="50" t="s">
        <v>18</v>
      </c>
      <c r="E24" s="52" t="s">
        <v>53</v>
      </c>
      <c r="F24" s="53" t="s">
        <v>60</v>
      </c>
      <c r="G24" s="53" t="s">
        <v>61</v>
      </c>
      <c r="H24" s="49">
        <v>7</v>
      </c>
      <c r="I24" s="50" t="s">
        <v>64</v>
      </c>
    </row>
    <row r="25" spans="2:9" s="6" customFormat="1" ht="24.95" customHeight="1" outlineLevel="1">
      <c r="B25" s="50">
        <v>2.6</v>
      </c>
      <c r="C25" s="6" t="s">
        <v>65</v>
      </c>
      <c r="D25" s="50" t="s">
        <v>18</v>
      </c>
      <c r="E25" s="52" t="s">
        <v>53</v>
      </c>
      <c r="F25" s="53" t="s">
        <v>60</v>
      </c>
      <c r="G25" s="53" t="s">
        <v>61</v>
      </c>
      <c r="H25" s="49">
        <v>7</v>
      </c>
      <c r="I25" s="50" t="s">
        <v>66</v>
      </c>
    </row>
    <row r="26" spans="2:9" s="6" customFormat="1" ht="24.95" customHeight="1" outlineLevel="1">
      <c r="B26" s="50">
        <v>2.7</v>
      </c>
      <c r="C26" s="6" t="s">
        <v>67</v>
      </c>
      <c r="D26" s="50" t="s">
        <v>18</v>
      </c>
      <c r="E26" s="52" t="s">
        <v>53</v>
      </c>
      <c r="F26" s="53" t="s">
        <v>60</v>
      </c>
      <c r="G26" s="53" t="s">
        <v>61</v>
      </c>
      <c r="H26" s="49">
        <v>7</v>
      </c>
      <c r="I26" s="50" t="s">
        <v>68</v>
      </c>
    </row>
    <row r="27" spans="2:9" s="6" customFormat="1" ht="24.95" customHeight="1" outlineLevel="1">
      <c r="B27" s="50">
        <v>2.8</v>
      </c>
      <c r="C27" s="6" t="s">
        <v>69</v>
      </c>
      <c r="D27" s="50" t="s">
        <v>18</v>
      </c>
      <c r="E27" s="52" t="s">
        <v>53</v>
      </c>
      <c r="F27" s="53" t="s">
        <v>60</v>
      </c>
      <c r="G27" s="53" t="s">
        <v>61</v>
      </c>
      <c r="H27" s="49">
        <v>7</v>
      </c>
      <c r="I27" s="6" t="s">
        <v>70</v>
      </c>
    </row>
    <row r="28" spans="2:9" s="6" customFormat="1" ht="24.95" customHeight="1">
      <c r="B28" s="50">
        <v>2.9</v>
      </c>
      <c r="C28" s="6" t="s">
        <v>71</v>
      </c>
      <c r="D28" s="50" t="s">
        <v>18</v>
      </c>
      <c r="E28" s="52" t="s">
        <v>53</v>
      </c>
      <c r="F28" s="6" t="s">
        <v>61</v>
      </c>
      <c r="G28" s="53" t="s">
        <v>61</v>
      </c>
      <c r="H28" s="49">
        <v>1</v>
      </c>
      <c r="I28" s="50" t="s">
        <v>72</v>
      </c>
    </row>
    <row r="29" spans="2:9" s="6" customFormat="1" ht="24.95" customHeight="1" outlineLevel="1">
      <c r="B29" s="50">
        <v>3</v>
      </c>
      <c r="C29" s="6" t="s">
        <v>73</v>
      </c>
      <c r="D29" s="50" t="s">
        <v>18</v>
      </c>
      <c r="E29" s="52" t="s">
        <v>53</v>
      </c>
      <c r="F29" s="6" t="s">
        <v>61</v>
      </c>
      <c r="G29" s="53" t="s">
        <v>61</v>
      </c>
      <c r="H29" s="49">
        <v>1</v>
      </c>
      <c r="I29" s="50" t="s">
        <v>74</v>
      </c>
    </row>
    <row r="30" spans="2:9" s="6" customFormat="1" ht="24.95" customHeight="1" outlineLevel="1">
      <c r="B30" s="50">
        <v>3.1</v>
      </c>
      <c r="C30" s="6" t="s">
        <v>75</v>
      </c>
      <c r="D30" s="50" t="s">
        <v>18</v>
      </c>
      <c r="E30" s="52" t="s">
        <v>53</v>
      </c>
      <c r="F30" s="6" t="s">
        <v>61</v>
      </c>
      <c r="G30" s="53" t="s">
        <v>61</v>
      </c>
      <c r="H30" s="49">
        <v>1</v>
      </c>
      <c r="I30" s="50" t="s">
        <v>76</v>
      </c>
    </row>
    <row r="31" spans="2:9" s="6" customFormat="1" ht="24.95" customHeight="1" outlineLevel="1">
      <c r="B31" s="50">
        <v>3.2</v>
      </c>
      <c r="C31" s="6" t="s">
        <v>77</v>
      </c>
      <c r="D31" s="50" t="s">
        <v>18</v>
      </c>
      <c r="E31" s="52" t="s">
        <v>53</v>
      </c>
      <c r="F31" s="6" t="s">
        <v>61</v>
      </c>
      <c r="G31" s="53" t="s">
        <v>61</v>
      </c>
      <c r="H31" s="49">
        <v>1</v>
      </c>
      <c r="I31" s="50" t="s">
        <v>78</v>
      </c>
    </row>
    <row r="32" spans="2:9" s="6" customFormat="1" ht="24.95" customHeight="1" outlineLevel="1">
      <c r="B32" s="50">
        <v>3.3</v>
      </c>
      <c r="C32" s="6" t="s">
        <v>79</v>
      </c>
      <c r="D32" s="50" t="s">
        <v>18</v>
      </c>
      <c r="E32" s="52" t="s">
        <v>53</v>
      </c>
      <c r="F32" s="6" t="s">
        <v>61</v>
      </c>
      <c r="G32" s="53" t="s">
        <v>61</v>
      </c>
      <c r="H32" s="49">
        <v>1</v>
      </c>
      <c r="I32" s="50" t="s">
        <v>80</v>
      </c>
    </row>
    <row r="33" spans="2:9" ht="37.5" customHeight="1">
      <c r="B33" s="50">
        <v>3.4</v>
      </c>
      <c r="C33" s="6" t="s">
        <v>81</v>
      </c>
      <c r="D33" s="50" t="s">
        <v>18</v>
      </c>
      <c r="E33" s="52" t="s">
        <v>53</v>
      </c>
      <c r="F33" s="6" t="s">
        <v>61</v>
      </c>
      <c r="G33" s="53" t="s">
        <v>61</v>
      </c>
      <c r="H33" s="49">
        <v>1</v>
      </c>
      <c r="I33" s="50" t="s">
        <v>82</v>
      </c>
    </row>
    <row r="34" spans="2:9" ht="37.5" customHeight="1">
      <c r="B34" s="50">
        <v>3.5</v>
      </c>
      <c r="C34" s="6" t="s">
        <v>83</v>
      </c>
      <c r="D34" s="50" t="s">
        <v>18</v>
      </c>
      <c r="E34" s="52" t="s">
        <v>53</v>
      </c>
      <c r="F34" s="6" t="s">
        <v>61</v>
      </c>
      <c r="G34" s="53" t="s">
        <v>61</v>
      </c>
      <c r="H34" s="49">
        <v>1</v>
      </c>
      <c r="I34" s="50" t="s">
        <v>84</v>
      </c>
    </row>
    <row r="35" spans="2:9" ht="13.5">
      <c r="B35" s="50">
        <v>3.6</v>
      </c>
      <c r="C35" s="6" t="s">
        <v>85</v>
      </c>
      <c r="D35" s="50" t="s">
        <v>18</v>
      </c>
      <c r="E35" s="52" t="s">
        <v>53</v>
      </c>
      <c r="F35" s="54">
        <v>46116</v>
      </c>
      <c r="G35" s="53">
        <v>46116</v>
      </c>
      <c r="H35" s="49">
        <v>1</v>
      </c>
      <c r="I35" s="50" t="s">
        <v>86</v>
      </c>
    </row>
    <row r="36" spans="2:9" ht="13.5">
      <c r="B36" s="55">
        <v>3</v>
      </c>
      <c r="C36" s="55" t="s">
        <v>87</v>
      </c>
      <c r="D36" s="55"/>
      <c r="E36" s="56"/>
      <c r="F36" s="57">
        <v>46330</v>
      </c>
      <c r="G36" s="57">
        <v>46330</v>
      </c>
      <c r="H36" s="58">
        <f>IF(F36=0,0,G36-F36)+1</f>
        <v>1</v>
      </c>
      <c r="I36" s="55"/>
    </row>
    <row r="37" spans="2:9" ht="13.5">
      <c r="B37" s="42">
        <v>3.1</v>
      </c>
      <c r="C37" s="43" t="s">
        <v>88</v>
      </c>
      <c r="D37" s="42" t="s">
        <v>18</v>
      </c>
      <c r="E37" s="43" t="s">
        <v>53</v>
      </c>
      <c r="F37" s="61">
        <v>46330</v>
      </c>
      <c r="G37" s="47">
        <v>46330</v>
      </c>
      <c r="H37" s="59">
        <f>IF(F37=0,0,G37-F37)+1</f>
        <v>1</v>
      </c>
      <c r="I37" s="42" t="s">
        <v>89</v>
      </c>
    </row>
    <row r="38" spans="2:9" ht="13.5">
      <c r="B38" s="42">
        <v>3.2</v>
      </c>
      <c r="C38" s="43" t="s">
        <v>90</v>
      </c>
      <c r="D38" s="42" t="s">
        <v>18</v>
      </c>
      <c r="E38" s="43" t="s">
        <v>53</v>
      </c>
      <c r="F38" s="61">
        <v>46330</v>
      </c>
      <c r="G38" s="47">
        <v>46331</v>
      </c>
      <c r="H38" s="59">
        <f>IF(F38=0,0,G38-F38)+1</f>
        <v>2</v>
      </c>
      <c r="I38" s="42" t="s">
        <v>91</v>
      </c>
    </row>
    <row r="39" spans="2:9" ht="13.5">
      <c r="B39" s="42" t="s">
        <v>92</v>
      </c>
      <c r="C39" s="43" t="s">
        <v>93</v>
      </c>
      <c r="D39" s="42" t="s">
        <v>18</v>
      </c>
      <c r="E39" s="43" t="s">
        <v>53</v>
      </c>
      <c r="F39" s="61">
        <v>46330</v>
      </c>
      <c r="G39" s="47">
        <v>46332</v>
      </c>
      <c r="H39" s="59">
        <f>IF(F39=0,0,G39-F39)+1</f>
        <v>3</v>
      </c>
      <c r="I39" s="42" t="s">
        <v>94</v>
      </c>
    </row>
    <row r="40" spans="2:9" ht="13.5">
      <c r="B40" s="42" t="s">
        <v>95</v>
      </c>
      <c r="C40" s="43" t="s">
        <v>96</v>
      </c>
      <c r="D40" s="42" t="s">
        <v>18</v>
      </c>
      <c r="E40" s="43" t="s">
        <v>97</v>
      </c>
      <c r="F40" s="61">
        <v>46330</v>
      </c>
      <c r="G40" s="47">
        <v>46333</v>
      </c>
      <c r="H40" s="59">
        <f>IF(F40=0,0,G40-F40)+1</f>
        <v>4</v>
      </c>
      <c r="I40" s="42" t="s">
        <v>98</v>
      </c>
    </row>
    <row r="41" spans="2:9" ht="13.5">
      <c r="B41" s="42">
        <v>3.3</v>
      </c>
      <c r="C41" s="43" t="s">
        <v>99</v>
      </c>
      <c r="D41" s="42" t="s">
        <v>18</v>
      </c>
      <c r="E41" s="45" t="s">
        <v>97</v>
      </c>
      <c r="F41" s="61">
        <v>46330</v>
      </c>
      <c r="G41" s="47">
        <v>46334</v>
      </c>
      <c r="H41" s="59">
        <f>IF(F41=0,0,G41-F41)+1</f>
        <v>5</v>
      </c>
      <c r="I41" s="42" t="s">
        <v>100</v>
      </c>
    </row>
    <row r="42" spans="2:9" ht="13.5">
      <c r="B42" s="50" t="s">
        <v>101</v>
      </c>
      <c r="C42" s="51" t="s">
        <v>102</v>
      </c>
      <c r="D42" s="50" t="s">
        <v>18</v>
      </c>
      <c r="E42" s="52" t="s">
        <v>97</v>
      </c>
      <c r="F42" s="61">
        <v>46330</v>
      </c>
      <c r="G42" s="47">
        <v>46335</v>
      </c>
      <c r="H42" s="60">
        <f>IF(F42=0,0,G42-F42)+1</f>
        <v>6</v>
      </c>
      <c r="I42" s="50" t="s">
        <v>103</v>
      </c>
    </row>
    <row r="43" spans="2:9" ht="13.5">
      <c r="B43" s="50" t="s">
        <v>104</v>
      </c>
      <c r="C43" s="6" t="s">
        <v>105</v>
      </c>
      <c r="D43" s="50" t="s">
        <v>18</v>
      </c>
      <c r="E43" s="52" t="s">
        <v>97</v>
      </c>
      <c r="F43" s="61">
        <v>46331</v>
      </c>
      <c r="G43" s="47">
        <v>46336</v>
      </c>
      <c r="H43" s="60">
        <f t="shared" ref="H43:H55" si="1">IF(F43=0,0,G43-F43)+1</f>
        <v>6</v>
      </c>
      <c r="I43" s="6" t="s">
        <v>106</v>
      </c>
    </row>
    <row r="44" spans="2:9" ht="13.5">
      <c r="B44" s="50" t="s">
        <v>107</v>
      </c>
      <c r="C44" s="6" t="s">
        <v>108</v>
      </c>
      <c r="D44" s="50" t="s">
        <v>18</v>
      </c>
      <c r="E44" s="52" t="s">
        <v>97</v>
      </c>
      <c r="F44" s="61">
        <v>46332</v>
      </c>
      <c r="G44" s="47">
        <v>46337</v>
      </c>
      <c r="H44" s="60">
        <f t="shared" si="1"/>
        <v>6</v>
      </c>
      <c r="I44" s="6" t="s">
        <v>109</v>
      </c>
    </row>
    <row r="45" spans="2:9" ht="13.5">
      <c r="B45" s="50" t="s">
        <v>110</v>
      </c>
      <c r="C45" s="6" t="s">
        <v>111</v>
      </c>
      <c r="D45" s="50" t="s">
        <v>18</v>
      </c>
      <c r="E45" s="52" t="s">
        <v>97</v>
      </c>
      <c r="F45" s="61">
        <v>46333</v>
      </c>
      <c r="G45" s="47">
        <v>46338</v>
      </c>
      <c r="H45" s="60">
        <f t="shared" si="1"/>
        <v>6</v>
      </c>
      <c r="I45" s="6" t="s">
        <v>112</v>
      </c>
    </row>
    <row r="46" spans="2:9" ht="13.5">
      <c r="B46" s="50" t="s">
        <v>113</v>
      </c>
      <c r="C46" s="6" t="s">
        <v>114</v>
      </c>
      <c r="D46" s="50" t="s">
        <v>18</v>
      </c>
      <c r="E46" s="52" t="s">
        <v>97</v>
      </c>
      <c r="F46" s="61">
        <v>46334</v>
      </c>
      <c r="G46" s="47">
        <v>46339</v>
      </c>
      <c r="H46" s="60">
        <f t="shared" si="1"/>
        <v>6</v>
      </c>
      <c r="I46" s="6" t="s">
        <v>115</v>
      </c>
    </row>
    <row r="47" spans="2:9" ht="13.5">
      <c r="B47" s="50" t="s">
        <v>116</v>
      </c>
      <c r="C47" s="6" t="s">
        <v>117</v>
      </c>
      <c r="D47" s="50" t="s">
        <v>18</v>
      </c>
      <c r="E47" s="52" t="s">
        <v>97</v>
      </c>
      <c r="F47" s="61">
        <v>46335</v>
      </c>
      <c r="G47" s="47">
        <v>46340</v>
      </c>
      <c r="H47" s="60">
        <f t="shared" si="1"/>
        <v>6</v>
      </c>
      <c r="I47" s="6" t="s">
        <v>118</v>
      </c>
    </row>
    <row r="48" spans="2:9" ht="13.5">
      <c r="B48" s="50" t="s">
        <v>119</v>
      </c>
      <c r="C48" s="6" t="s">
        <v>120</v>
      </c>
      <c r="D48" s="50" t="s">
        <v>18</v>
      </c>
      <c r="E48" s="52" t="s">
        <v>97</v>
      </c>
      <c r="F48" s="61">
        <v>46336</v>
      </c>
      <c r="G48" s="47">
        <v>46341</v>
      </c>
      <c r="H48" s="60">
        <f t="shared" si="1"/>
        <v>6</v>
      </c>
      <c r="I48" s="6" t="s">
        <v>121</v>
      </c>
    </row>
    <row r="49" spans="2:9" ht="13.5">
      <c r="B49" s="50" t="s">
        <v>122</v>
      </c>
      <c r="C49" s="6" t="s">
        <v>123</v>
      </c>
      <c r="D49" s="50" t="s">
        <v>18</v>
      </c>
      <c r="E49" s="52" t="s">
        <v>97</v>
      </c>
      <c r="F49" s="61">
        <v>46337</v>
      </c>
      <c r="G49" s="47">
        <v>46342</v>
      </c>
      <c r="H49" s="60">
        <f t="shared" si="1"/>
        <v>6</v>
      </c>
      <c r="I49" s="6" t="s">
        <v>124</v>
      </c>
    </row>
    <row r="50" spans="2:9" ht="13.5">
      <c r="B50" s="50" t="s">
        <v>125</v>
      </c>
      <c r="C50" s="6" t="s">
        <v>126</v>
      </c>
      <c r="D50" s="50" t="s">
        <v>18</v>
      </c>
      <c r="E50" s="52" t="s">
        <v>97</v>
      </c>
      <c r="F50" s="61">
        <v>46338</v>
      </c>
      <c r="G50" s="47">
        <v>46343</v>
      </c>
      <c r="H50" s="60">
        <f t="shared" si="1"/>
        <v>6</v>
      </c>
      <c r="I50" s="6" t="s">
        <v>127</v>
      </c>
    </row>
    <row r="51" spans="2:9" ht="13.5">
      <c r="B51" s="50" t="s">
        <v>128</v>
      </c>
      <c r="C51" s="6" t="s">
        <v>129</v>
      </c>
      <c r="D51" s="50" t="s">
        <v>18</v>
      </c>
      <c r="E51" s="52" t="s">
        <v>97</v>
      </c>
      <c r="F51" s="61">
        <v>46339</v>
      </c>
      <c r="G51" s="47">
        <v>46344</v>
      </c>
      <c r="H51" s="60">
        <f t="shared" si="1"/>
        <v>6</v>
      </c>
      <c r="I51" s="6" t="s">
        <v>130</v>
      </c>
    </row>
    <row r="52" spans="2:9" ht="13.5">
      <c r="B52" s="50" t="s">
        <v>131</v>
      </c>
      <c r="C52" s="6" t="s">
        <v>132</v>
      </c>
      <c r="D52" s="50" t="s">
        <v>18</v>
      </c>
      <c r="E52" s="52" t="s">
        <v>97</v>
      </c>
      <c r="F52" s="61">
        <v>46340</v>
      </c>
      <c r="G52" s="47">
        <v>46345</v>
      </c>
      <c r="H52" s="60">
        <f t="shared" si="1"/>
        <v>6</v>
      </c>
      <c r="I52" s="6" t="s">
        <v>133</v>
      </c>
    </row>
    <row r="53" spans="2:9" ht="13.5">
      <c r="B53" s="50" t="s">
        <v>134</v>
      </c>
      <c r="C53" s="6" t="s">
        <v>135</v>
      </c>
      <c r="D53" s="50" t="s">
        <v>18</v>
      </c>
      <c r="E53" s="52" t="s">
        <v>97</v>
      </c>
      <c r="F53" s="61">
        <v>46341</v>
      </c>
      <c r="G53" s="47">
        <v>46346</v>
      </c>
      <c r="H53" s="60">
        <f t="shared" si="1"/>
        <v>6</v>
      </c>
      <c r="I53" s="6" t="s">
        <v>136</v>
      </c>
    </row>
    <row r="54" spans="2:9" ht="13.5">
      <c r="B54" s="50" t="s">
        <v>137</v>
      </c>
      <c r="C54" s="6" t="s">
        <v>138</v>
      </c>
      <c r="D54" s="50" t="s">
        <v>18</v>
      </c>
      <c r="E54" s="52" t="s">
        <v>97</v>
      </c>
      <c r="F54" s="61">
        <v>46342</v>
      </c>
      <c r="G54" s="47">
        <v>46347</v>
      </c>
      <c r="H54" s="60">
        <f t="shared" si="1"/>
        <v>6</v>
      </c>
      <c r="I54" s="6" t="s">
        <v>139</v>
      </c>
    </row>
    <row r="55" spans="2:9" ht="13.5">
      <c r="B55" s="50" t="s">
        <v>140</v>
      </c>
      <c r="C55" s="6" t="s">
        <v>141</v>
      </c>
      <c r="D55" s="50" t="s">
        <v>18</v>
      </c>
      <c r="E55" s="52" t="s">
        <v>97</v>
      </c>
      <c r="F55" s="61">
        <v>46343</v>
      </c>
      <c r="G55" s="47">
        <v>46348</v>
      </c>
      <c r="H55" s="60">
        <f t="shared" si="1"/>
        <v>6</v>
      </c>
      <c r="I55" s="6" t="s">
        <v>142</v>
      </c>
    </row>
    <row r="56" spans="2:9" ht="13.5">
      <c r="B56" s="62">
        <v>4</v>
      </c>
      <c r="C56" s="62" t="s">
        <v>143</v>
      </c>
      <c r="D56" s="62"/>
      <c r="E56" s="63"/>
      <c r="F56" s="63">
        <v>46344</v>
      </c>
      <c r="G56" s="67">
        <v>46349</v>
      </c>
      <c r="H56" s="64">
        <f t="shared" ref="H56:H64" si="2">IF(F56=0,0,G56-F56)+1</f>
        <v>6</v>
      </c>
      <c r="I56" s="62"/>
    </row>
    <row r="57" spans="2:9" ht="13.5">
      <c r="B57" s="42">
        <v>4.0999999999999996</v>
      </c>
      <c r="C57" s="43" t="s">
        <v>144</v>
      </c>
      <c r="D57" s="42" t="s">
        <v>18</v>
      </c>
      <c r="E57" s="45" t="s">
        <v>53</v>
      </c>
      <c r="F57" s="61">
        <v>46345</v>
      </c>
      <c r="G57" s="47">
        <v>46350</v>
      </c>
      <c r="H57" s="65">
        <f t="shared" si="2"/>
        <v>6</v>
      </c>
      <c r="I57" s="42" t="s">
        <v>145</v>
      </c>
    </row>
    <row r="58" spans="2:9" ht="13.5">
      <c r="B58" s="42">
        <v>4.2</v>
      </c>
      <c r="C58" s="43" t="s">
        <v>146</v>
      </c>
      <c r="D58" s="42" t="s">
        <v>18</v>
      </c>
      <c r="E58" s="45" t="s">
        <v>147</v>
      </c>
      <c r="F58" s="61">
        <v>46346</v>
      </c>
      <c r="G58" s="47">
        <v>46351</v>
      </c>
      <c r="H58" s="65">
        <f t="shared" si="2"/>
        <v>6</v>
      </c>
      <c r="I58" s="42" t="s">
        <v>148</v>
      </c>
    </row>
    <row r="59" spans="2:9" ht="24.75">
      <c r="B59" s="42">
        <v>4.3</v>
      </c>
      <c r="C59" s="43" t="s">
        <v>149</v>
      </c>
      <c r="D59" s="42" t="s">
        <v>18</v>
      </c>
      <c r="E59" s="45" t="s">
        <v>22</v>
      </c>
      <c r="F59" s="61">
        <v>46347</v>
      </c>
      <c r="G59" s="47">
        <v>46352</v>
      </c>
      <c r="H59" s="65">
        <f t="shared" si="2"/>
        <v>6</v>
      </c>
      <c r="I59" s="42" t="s">
        <v>150</v>
      </c>
    </row>
    <row r="60" spans="2:9" ht="13.5">
      <c r="B60" s="50">
        <v>4.4000000000000004</v>
      </c>
      <c r="C60" s="51" t="s">
        <v>151</v>
      </c>
      <c r="D60" s="50" t="s">
        <v>18</v>
      </c>
      <c r="E60" s="52" t="s">
        <v>152</v>
      </c>
      <c r="F60" s="61">
        <v>46348</v>
      </c>
      <c r="G60" s="47">
        <v>46353</v>
      </c>
      <c r="H60" s="66">
        <f t="shared" si="2"/>
        <v>6</v>
      </c>
      <c r="I60" s="50" t="s">
        <v>153</v>
      </c>
    </row>
    <row r="61" spans="2:9" ht="13.5">
      <c r="B61" s="50">
        <v>4.5</v>
      </c>
      <c r="C61" s="6" t="s">
        <v>154</v>
      </c>
      <c r="D61" s="50" t="s">
        <v>18</v>
      </c>
      <c r="E61" s="52" t="s">
        <v>152</v>
      </c>
      <c r="F61" s="61">
        <v>46349</v>
      </c>
      <c r="G61" s="47">
        <v>46354</v>
      </c>
      <c r="H61" s="66">
        <f t="shared" si="2"/>
        <v>6</v>
      </c>
      <c r="I61" s="6" t="s">
        <v>155</v>
      </c>
    </row>
    <row r="62" spans="2:9" ht="13.5">
      <c r="B62" s="50">
        <v>4.5999999999999996</v>
      </c>
      <c r="C62" s="6" t="s">
        <v>156</v>
      </c>
      <c r="D62" s="50" t="s">
        <v>18</v>
      </c>
      <c r="E62" s="52" t="s">
        <v>152</v>
      </c>
      <c r="F62" s="61">
        <v>46350</v>
      </c>
      <c r="G62" s="47">
        <v>46355</v>
      </c>
      <c r="H62" s="66">
        <f t="shared" si="2"/>
        <v>6</v>
      </c>
      <c r="I62" s="6" t="s">
        <v>157</v>
      </c>
    </row>
    <row r="63" spans="2:9" ht="13.5">
      <c r="B63" s="50">
        <v>4.7</v>
      </c>
      <c r="C63" s="6" t="s">
        <v>158</v>
      </c>
      <c r="D63" s="50" t="s">
        <v>18</v>
      </c>
      <c r="E63" s="52" t="s">
        <v>152</v>
      </c>
      <c r="F63" s="61">
        <v>46351</v>
      </c>
      <c r="G63" s="47">
        <v>46356</v>
      </c>
      <c r="H63" s="66">
        <f t="shared" si="2"/>
        <v>6</v>
      </c>
      <c r="I63" s="6" t="s">
        <v>159</v>
      </c>
    </row>
    <row r="64" spans="2:9" ht="13.5">
      <c r="B64" s="50">
        <v>4.8</v>
      </c>
      <c r="C64" s="6" t="s">
        <v>160</v>
      </c>
      <c r="D64" s="50" t="s">
        <v>18</v>
      </c>
      <c r="E64" s="52" t="s">
        <v>152</v>
      </c>
      <c r="F64" s="61">
        <v>46352</v>
      </c>
      <c r="G64" s="47">
        <v>46357</v>
      </c>
      <c r="H64" s="66">
        <f t="shared" si="2"/>
        <v>6</v>
      </c>
      <c r="I64" s="6" t="s">
        <v>161</v>
      </c>
    </row>
    <row r="65" spans="2:9" ht="13.5">
      <c r="B65" s="68">
        <v>5</v>
      </c>
      <c r="C65" s="68" t="s">
        <v>162</v>
      </c>
      <c r="D65" s="68"/>
      <c r="E65" s="69"/>
      <c r="F65" s="69">
        <v>46353</v>
      </c>
      <c r="G65" s="69">
        <v>46358</v>
      </c>
      <c r="H65" s="70">
        <f t="shared" ref="H65:H92" si="3">IF(F65=0,0,G65-F65)+1</f>
        <v>6</v>
      </c>
      <c r="I65" s="68"/>
    </row>
    <row r="66" spans="2:9" ht="13.5">
      <c r="B66" s="42">
        <v>5.0999999999999996</v>
      </c>
      <c r="C66" s="43" t="s">
        <v>163</v>
      </c>
      <c r="D66" s="42" t="s">
        <v>18</v>
      </c>
      <c r="E66" s="45" t="s">
        <v>53</v>
      </c>
      <c r="F66" s="61">
        <v>46354</v>
      </c>
      <c r="G66" s="47">
        <v>46359</v>
      </c>
      <c r="H66" s="65">
        <f t="shared" si="3"/>
        <v>6</v>
      </c>
      <c r="I66" s="42" t="s">
        <v>145</v>
      </c>
    </row>
    <row r="67" spans="2:9" ht="13.5">
      <c r="B67" s="42">
        <v>5.2</v>
      </c>
      <c r="C67" s="43" t="s">
        <v>164</v>
      </c>
      <c r="D67" s="42" t="s">
        <v>18</v>
      </c>
      <c r="E67" s="45" t="s">
        <v>147</v>
      </c>
      <c r="F67" s="61">
        <v>46355</v>
      </c>
      <c r="G67" s="47">
        <v>46360</v>
      </c>
      <c r="H67" s="65">
        <f t="shared" si="3"/>
        <v>6</v>
      </c>
      <c r="I67" s="42" t="s">
        <v>148</v>
      </c>
    </row>
    <row r="68" spans="2:9" ht="24.75">
      <c r="B68" s="42">
        <v>5.3</v>
      </c>
      <c r="C68" s="43" t="s">
        <v>165</v>
      </c>
      <c r="D68" s="42" t="s">
        <v>18</v>
      </c>
      <c r="E68" s="45" t="s">
        <v>22</v>
      </c>
      <c r="F68" s="61">
        <v>46356</v>
      </c>
      <c r="G68" s="47">
        <v>46361</v>
      </c>
      <c r="H68" s="65">
        <f t="shared" si="3"/>
        <v>6</v>
      </c>
      <c r="I68" s="42" t="s">
        <v>150</v>
      </c>
    </row>
    <row r="69" spans="2:9" ht="13.5">
      <c r="B69" s="42">
        <v>5.4</v>
      </c>
      <c r="C69" s="51" t="s">
        <v>166</v>
      </c>
      <c r="D69" s="50" t="s">
        <v>18</v>
      </c>
      <c r="E69" s="52" t="s">
        <v>152</v>
      </c>
      <c r="F69" s="61">
        <v>46357</v>
      </c>
      <c r="G69" s="47">
        <v>46362</v>
      </c>
      <c r="H69" s="66">
        <f t="shared" si="3"/>
        <v>6</v>
      </c>
      <c r="I69" s="50" t="s">
        <v>153</v>
      </c>
    </row>
    <row r="70" spans="2:9" ht="13.5">
      <c r="B70" s="42">
        <v>5.5</v>
      </c>
      <c r="C70" s="6" t="s">
        <v>167</v>
      </c>
      <c r="D70" s="50" t="s">
        <v>18</v>
      </c>
      <c r="E70" s="52" t="s">
        <v>152</v>
      </c>
      <c r="F70" s="61">
        <v>46358</v>
      </c>
      <c r="G70" s="47">
        <v>46363</v>
      </c>
      <c r="H70" s="66">
        <f t="shared" si="3"/>
        <v>6</v>
      </c>
      <c r="I70" s="6" t="s">
        <v>168</v>
      </c>
    </row>
    <row r="71" spans="2:9" ht="13.5">
      <c r="B71" s="42">
        <v>5.6</v>
      </c>
      <c r="C71" s="6" t="s">
        <v>169</v>
      </c>
      <c r="D71" s="50" t="s">
        <v>18</v>
      </c>
      <c r="E71" s="52" t="s">
        <v>152</v>
      </c>
      <c r="F71" s="61">
        <v>46359</v>
      </c>
      <c r="G71" s="47">
        <v>46364</v>
      </c>
      <c r="H71" s="66">
        <f t="shared" si="3"/>
        <v>6</v>
      </c>
      <c r="I71" s="6" t="s">
        <v>170</v>
      </c>
    </row>
    <row r="72" spans="2:9" ht="13.5">
      <c r="B72" s="42">
        <v>5.7</v>
      </c>
      <c r="C72" s="6" t="s">
        <v>171</v>
      </c>
      <c r="D72" s="50" t="s">
        <v>18</v>
      </c>
      <c r="E72" s="52" t="s">
        <v>152</v>
      </c>
      <c r="F72" s="61">
        <v>46360</v>
      </c>
      <c r="G72" s="47">
        <v>46365</v>
      </c>
      <c r="H72" s="66">
        <f t="shared" si="3"/>
        <v>6</v>
      </c>
      <c r="I72" s="6" t="s">
        <v>172</v>
      </c>
    </row>
    <row r="73" spans="2:9" ht="13.5">
      <c r="B73" s="42">
        <v>5.8</v>
      </c>
      <c r="C73" s="6" t="s">
        <v>173</v>
      </c>
      <c r="D73" s="50" t="s">
        <v>18</v>
      </c>
      <c r="E73" s="52" t="s">
        <v>152</v>
      </c>
      <c r="F73" s="61">
        <v>46361</v>
      </c>
      <c r="G73" s="47">
        <v>46366</v>
      </c>
      <c r="H73" s="66">
        <f t="shared" si="3"/>
        <v>6</v>
      </c>
      <c r="I73" s="6" t="s">
        <v>174</v>
      </c>
    </row>
    <row r="74" spans="2:9" ht="13.5">
      <c r="B74" s="42">
        <v>5.9</v>
      </c>
      <c r="C74" s="6" t="s">
        <v>175</v>
      </c>
      <c r="D74" s="50" t="s">
        <v>18</v>
      </c>
      <c r="E74" s="52" t="s">
        <v>152</v>
      </c>
      <c r="F74" s="61">
        <v>46362</v>
      </c>
      <c r="G74" s="47">
        <v>46367</v>
      </c>
      <c r="H74" s="66">
        <f t="shared" si="3"/>
        <v>6</v>
      </c>
      <c r="I74" s="6" t="s">
        <v>176</v>
      </c>
    </row>
    <row r="75" spans="2:9" ht="13.5">
      <c r="B75" s="42" t="s">
        <v>177</v>
      </c>
      <c r="C75" s="6" t="s">
        <v>178</v>
      </c>
      <c r="D75" s="50" t="s">
        <v>18</v>
      </c>
      <c r="E75" s="52" t="s">
        <v>152</v>
      </c>
      <c r="F75" s="61">
        <v>46363</v>
      </c>
      <c r="G75" s="47">
        <v>46368</v>
      </c>
      <c r="H75" s="66">
        <f t="shared" si="3"/>
        <v>6</v>
      </c>
      <c r="I75" s="6" t="s">
        <v>179</v>
      </c>
    </row>
    <row r="76" spans="2:9" ht="13.5">
      <c r="B76" s="42" t="s">
        <v>180</v>
      </c>
      <c r="C76" s="6" t="s">
        <v>181</v>
      </c>
      <c r="D76" s="50" t="s">
        <v>18</v>
      </c>
      <c r="E76" s="52" t="s">
        <v>152</v>
      </c>
      <c r="F76" s="61">
        <v>46364</v>
      </c>
      <c r="G76" s="47">
        <v>46369</v>
      </c>
      <c r="H76" s="66">
        <f t="shared" si="3"/>
        <v>6</v>
      </c>
      <c r="I76" s="6" t="s">
        <v>182</v>
      </c>
    </row>
    <row r="77" spans="2:9" ht="13.5">
      <c r="B77" s="42" t="s">
        <v>183</v>
      </c>
      <c r="C77" s="6" t="s">
        <v>184</v>
      </c>
      <c r="D77" s="50" t="s">
        <v>18</v>
      </c>
      <c r="E77" s="52" t="s">
        <v>152</v>
      </c>
      <c r="F77" s="61">
        <v>46365</v>
      </c>
      <c r="G77" s="47">
        <v>46370</v>
      </c>
      <c r="H77" s="66">
        <f t="shared" si="3"/>
        <v>6</v>
      </c>
      <c r="I77" s="6" t="s">
        <v>185</v>
      </c>
    </row>
    <row r="78" spans="2:9" ht="13.5">
      <c r="B78" s="42" t="s">
        <v>186</v>
      </c>
      <c r="C78" s="6" t="s">
        <v>187</v>
      </c>
      <c r="D78" s="50" t="s">
        <v>18</v>
      </c>
      <c r="E78" s="52" t="s">
        <v>152</v>
      </c>
      <c r="F78" s="61">
        <v>46366</v>
      </c>
      <c r="G78" s="47">
        <v>46371</v>
      </c>
      <c r="H78" s="66">
        <f t="shared" si="3"/>
        <v>6</v>
      </c>
      <c r="I78" s="6" t="s">
        <v>188</v>
      </c>
    </row>
    <row r="79" spans="2:9" ht="13.5">
      <c r="B79" s="42" t="s">
        <v>189</v>
      </c>
      <c r="C79" s="6" t="s">
        <v>190</v>
      </c>
      <c r="D79" s="50" t="s">
        <v>18</v>
      </c>
      <c r="E79" s="52" t="s">
        <v>152</v>
      </c>
      <c r="F79" s="61">
        <v>46367</v>
      </c>
      <c r="G79" s="47">
        <v>46372</v>
      </c>
      <c r="H79" s="66">
        <f t="shared" si="3"/>
        <v>6</v>
      </c>
      <c r="I79" s="6" t="s">
        <v>191</v>
      </c>
    </row>
    <row r="80" spans="2:9" ht="13.5">
      <c r="B80" s="42" t="s">
        <v>192</v>
      </c>
      <c r="C80" s="6" t="s">
        <v>193</v>
      </c>
      <c r="D80" s="50" t="s">
        <v>18</v>
      </c>
      <c r="E80" s="52" t="s">
        <v>152</v>
      </c>
      <c r="F80" s="61">
        <v>46368</v>
      </c>
      <c r="G80" s="47">
        <v>46373</v>
      </c>
      <c r="H80" s="66">
        <f t="shared" si="3"/>
        <v>6</v>
      </c>
      <c r="I80" s="6" t="s">
        <v>194</v>
      </c>
    </row>
    <row r="81" spans="2:9" ht="15.75">
      <c r="B81" s="42" t="s">
        <v>195</v>
      </c>
      <c r="C81" s="6" t="s">
        <v>196</v>
      </c>
      <c r="D81" s="50" t="s">
        <v>18</v>
      </c>
      <c r="E81" s="52" t="s">
        <v>152</v>
      </c>
      <c r="F81" s="61">
        <v>46369</v>
      </c>
      <c r="G81" s="47">
        <v>46374</v>
      </c>
      <c r="H81" s="66">
        <f t="shared" si="3"/>
        <v>6</v>
      </c>
      <c r="I81" t="s">
        <v>194</v>
      </c>
    </row>
    <row r="82" spans="2:9" ht="13.5">
      <c r="B82" s="42" t="s">
        <v>197</v>
      </c>
      <c r="C82" s="6" t="s">
        <v>198</v>
      </c>
      <c r="D82" s="50" t="s">
        <v>18</v>
      </c>
      <c r="E82" s="52" t="s">
        <v>152</v>
      </c>
      <c r="F82" s="61">
        <v>46370</v>
      </c>
      <c r="G82" s="47">
        <v>46375</v>
      </c>
      <c r="H82" s="66">
        <f t="shared" si="3"/>
        <v>6</v>
      </c>
      <c r="I82" s="6" t="s">
        <v>199</v>
      </c>
    </row>
    <row r="83" spans="2:9" ht="13.5">
      <c r="B83" s="42" t="s">
        <v>200</v>
      </c>
      <c r="C83" s="6" t="s">
        <v>201</v>
      </c>
      <c r="D83" s="50" t="s">
        <v>18</v>
      </c>
      <c r="E83" s="52" t="s">
        <v>152</v>
      </c>
      <c r="F83" s="61">
        <v>46371</v>
      </c>
      <c r="G83" s="47">
        <v>46376</v>
      </c>
      <c r="H83" s="66">
        <f t="shared" si="3"/>
        <v>6</v>
      </c>
      <c r="I83" s="6" t="s">
        <v>199</v>
      </c>
    </row>
    <row r="84" spans="2:9" ht="13.5">
      <c r="B84" s="42" t="s">
        <v>202</v>
      </c>
      <c r="C84" s="6" t="s">
        <v>203</v>
      </c>
      <c r="D84" s="50" t="s">
        <v>18</v>
      </c>
      <c r="E84" s="52" t="s">
        <v>152</v>
      </c>
      <c r="F84" s="61">
        <v>46372</v>
      </c>
      <c r="G84" s="47">
        <v>46377</v>
      </c>
      <c r="H84" s="66">
        <f t="shared" si="3"/>
        <v>6</v>
      </c>
      <c r="I84" s="6" t="s">
        <v>199</v>
      </c>
    </row>
    <row r="85" spans="2:9" ht="13.5">
      <c r="B85" s="42" t="s">
        <v>204</v>
      </c>
      <c r="C85" s="6" t="s">
        <v>205</v>
      </c>
      <c r="D85" s="50" t="s">
        <v>18</v>
      </c>
      <c r="E85" s="52" t="s">
        <v>152</v>
      </c>
      <c r="F85" s="61">
        <v>46373</v>
      </c>
      <c r="G85" s="47">
        <v>46378</v>
      </c>
      <c r="H85" s="66">
        <f t="shared" si="3"/>
        <v>6</v>
      </c>
      <c r="I85" s="6" t="s">
        <v>206</v>
      </c>
    </row>
    <row r="86" spans="2:9" ht="13.5">
      <c r="B86" s="42" t="s">
        <v>207</v>
      </c>
      <c r="C86" s="6" t="s">
        <v>208</v>
      </c>
      <c r="D86" s="50" t="s">
        <v>18</v>
      </c>
      <c r="E86" s="52" t="s">
        <v>152</v>
      </c>
      <c r="F86" s="61">
        <v>46374</v>
      </c>
      <c r="G86" s="47">
        <v>46379</v>
      </c>
      <c r="H86" s="66">
        <f t="shared" si="3"/>
        <v>6</v>
      </c>
      <c r="I86" s="6" t="s">
        <v>209</v>
      </c>
    </row>
    <row r="87" spans="2:9" ht="13.5">
      <c r="B87" s="42" t="s">
        <v>210</v>
      </c>
      <c r="C87" s="6" t="s">
        <v>211</v>
      </c>
      <c r="D87" s="50" t="s">
        <v>18</v>
      </c>
      <c r="E87" s="52" t="s">
        <v>152</v>
      </c>
      <c r="F87" s="61">
        <v>46375</v>
      </c>
      <c r="G87" s="47">
        <v>46380</v>
      </c>
      <c r="H87" s="66">
        <f t="shared" si="3"/>
        <v>6</v>
      </c>
      <c r="I87" s="6" t="s">
        <v>209</v>
      </c>
    </row>
    <row r="88" spans="2:9" ht="13.5">
      <c r="B88" s="42" t="s">
        <v>212</v>
      </c>
      <c r="C88" s="6" t="s">
        <v>213</v>
      </c>
      <c r="D88" s="50" t="s">
        <v>18</v>
      </c>
      <c r="E88" s="52" t="s">
        <v>152</v>
      </c>
      <c r="F88" s="61">
        <v>46376</v>
      </c>
      <c r="G88" s="47">
        <v>46381</v>
      </c>
      <c r="H88" s="66">
        <f t="shared" si="3"/>
        <v>6</v>
      </c>
      <c r="I88" s="6" t="s">
        <v>214</v>
      </c>
    </row>
    <row r="89" spans="2:9" ht="13.5">
      <c r="B89" s="42" t="s">
        <v>215</v>
      </c>
      <c r="C89" s="6" t="s">
        <v>216</v>
      </c>
      <c r="D89" s="50" t="s">
        <v>18</v>
      </c>
      <c r="E89" s="52" t="s">
        <v>152</v>
      </c>
      <c r="F89" s="61">
        <v>46377</v>
      </c>
      <c r="G89" s="47">
        <v>46382</v>
      </c>
      <c r="H89" s="66">
        <f t="shared" si="3"/>
        <v>6</v>
      </c>
      <c r="I89" s="6" t="s">
        <v>217</v>
      </c>
    </row>
    <row r="90" spans="2:9" ht="13.5">
      <c r="B90" s="42" t="s">
        <v>218</v>
      </c>
      <c r="C90" s="6" t="s">
        <v>219</v>
      </c>
      <c r="D90" s="50" t="s">
        <v>18</v>
      </c>
      <c r="E90" s="52" t="s">
        <v>152</v>
      </c>
      <c r="F90" s="61">
        <v>46378</v>
      </c>
      <c r="G90" s="47">
        <v>46383</v>
      </c>
      <c r="H90" s="66">
        <f t="shared" si="3"/>
        <v>6</v>
      </c>
      <c r="I90" s="6" t="s">
        <v>217</v>
      </c>
    </row>
    <row r="91" spans="2:9" ht="13.5">
      <c r="B91" s="42" t="s">
        <v>220</v>
      </c>
      <c r="C91" s="6" t="s">
        <v>221</v>
      </c>
      <c r="D91" s="50" t="s">
        <v>18</v>
      </c>
      <c r="E91" s="52" t="s">
        <v>152</v>
      </c>
      <c r="F91" s="61">
        <v>46379</v>
      </c>
      <c r="G91" s="47">
        <v>46384</v>
      </c>
      <c r="H91" s="66">
        <f t="shared" si="3"/>
        <v>6</v>
      </c>
      <c r="I91" s="6" t="s">
        <v>222</v>
      </c>
    </row>
    <row r="92" spans="2:9" ht="13.5">
      <c r="B92" s="42" t="s">
        <v>223</v>
      </c>
      <c r="C92" s="6" t="s">
        <v>224</v>
      </c>
      <c r="D92" s="50" t="s">
        <v>18</v>
      </c>
      <c r="E92" s="52" t="s">
        <v>152</v>
      </c>
      <c r="F92" s="61">
        <v>46380</v>
      </c>
      <c r="G92" s="47">
        <v>46385</v>
      </c>
      <c r="H92" s="66">
        <f t="shared" si="3"/>
        <v>6</v>
      </c>
      <c r="I92" s="6" t="s">
        <v>225</v>
      </c>
    </row>
    <row r="93" spans="2:9" ht="13.5">
      <c r="B93" s="71">
        <v>6</v>
      </c>
      <c r="C93" s="71" t="s">
        <v>226</v>
      </c>
      <c r="D93" s="71"/>
      <c r="E93" s="72"/>
      <c r="F93" s="73">
        <v>46381</v>
      </c>
      <c r="G93" s="74">
        <v>46386</v>
      </c>
      <c r="H93" s="75">
        <f t="shared" ref="H93:H120" si="4">IF(F93=0,0,G93-F93)+1</f>
        <v>6</v>
      </c>
      <c r="I93" s="71"/>
    </row>
    <row r="94" spans="2:9" ht="13.5">
      <c r="B94" s="42">
        <v>6.1</v>
      </c>
      <c r="C94" s="43" t="s">
        <v>227</v>
      </c>
      <c r="D94" s="42" t="s">
        <v>18</v>
      </c>
      <c r="E94" s="45" t="s">
        <v>53</v>
      </c>
      <c r="F94" s="61">
        <v>46382</v>
      </c>
      <c r="G94" s="47">
        <v>46387</v>
      </c>
      <c r="H94" s="65">
        <f t="shared" si="4"/>
        <v>6</v>
      </c>
      <c r="I94" s="42" t="s">
        <v>145</v>
      </c>
    </row>
    <row r="95" spans="2:9" ht="13.5">
      <c r="B95" s="42">
        <v>6.2</v>
      </c>
      <c r="C95" s="43" t="s">
        <v>228</v>
      </c>
      <c r="D95" s="42" t="s">
        <v>18</v>
      </c>
      <c r="E95" s="45" t="s">
        <v>147</v>
      </c>
      <c r="F95" s="61">
        <v>46383</v>
      </c>
      <c r="G95" s="47">
        <v>46388</v>
      </c>
      <c r="H95" s="65">
        <f t="shared" si="4"/>
        <v>6</v>
      </c>
      <c r="I95" s="42" t="s">
        <v>148</v>
      </c>
    </row>
    <row r="96" spans="2:9" ht="24.75">
      <c r="B96" s="42">
        <v>6.3</v>
      </c>
      <c r="C96" s="43" t="s">
        <v>229</v>
      </c>
      <c r="D96" s="42" t="s">
        <v>18</v>
      </c>
      <c r="E96" s="45" t="s">
        <v>22</v>
      </c>
      <c r="F96" s="61">
        <v>46384</v>
      </c>
      <c r="G96" s="47">
        <v>46389</v>
      </c>
      <c r="H96" s="65">
        <f t="shared" si="4"/>
        <v>6</v>
      </c>
      <c r="I96" s="42" t="s">
        <v>150</v>
      </c>
    </row>
    <row r="97" spans="2:9" ht="13.5">
      <c r="B97" s="42">
        <v>6.4</v>
      </c>
      <c r="C97" s="51" t="s">
        <v>230</v>
      </c>
      <c r="D97" s="50" t="s">
        <v>18</v>
      </c>
      <c r="E97" s="52" t="s">
        <v>152</v>
      </c>
      <c r="F97" s="61">
        <v>46385</v>
      </c>
      <c r="G97" s="47">
        <v>46390</v>
      </c>
      <c r="H97" s="66">
        <f t="shared" si="4"/>
        <v>6</v>
      </c>
      <c r="I97" s="50" t="s">
        <v>153</v>
      </c>
    </row>
    <row r="98" spans="2:9" ht="13.5">
      <c r="B98" s="42">
        <v>6.5</v>
      </c>
      <c r="C98" s="6" t="s">
        <v>231</v>
      </c>
      <c r="D98" s="50" t="s">
        <v>18</v>
      </c>
      <c r="E98" s="52" t="s">
        <v>152</v>
      </c>
      <c r="F98" s="61">
        <v>46386</v>
      </c>
      <c r="G98" s="47">
        <v>46391</v>
      </c>
      <c r="H98" s="66">
        <f t="shared" si="4"/>
        <v>6</v>
      </c>
      <c r="I98" s="6" t="s">
        <v>232</v>
      </c>
    </row>
    <row r="99" spans="2:9" ht="13.5">
      <c r="B99" s="42">
        <v>6.6</v>
      </c>
      <c r="C99" s="6" t="s">
        <v>233</v>
      </c>
      <c r="D99" s="50" t="s">
        <v>18</v>
      </c>
      <c r="E99" s="52" t="s">
        <v>152</v>
      </c>
      <c r="F99" s="61">
        <v>46387</v>
      </c>
      <c r="G99" s="47">
        <v>46392</v>
      </c>
      <c r="H99" s="66">
        <f t="shared" si="4"/>
        <v>6</v>
      </c>
      <c r="I99" s="6" t="s">
        <v>234</v>
      </c>
    </row>
    <row r="100" spans="2:9" ht="13.5">
      <c r="B100" s="42">
        <v>6.7</v>
      </c>
      <c r="C100" s="6" t="s">
        <v>235</v>
      </c>
      <c r="D100" s="50" t="s">
        <v>18</v>
      </c>
      <c r="E100" s="52" t="s">
        <v>152</v>
      </c>
      <c r="F100" s="61">
        <v>46388</v>
      </c>
      <c r="G100" s="47">
        <v>46393</v>
      </c>
      <c r="H100" s="66">
        <f t="shared" si="4"/>
        <v>6</v>
      </c>
      <c r="I100" s="6" t="s">
        <v>236</v>
      </c>
    </row>
    <row r="101" spans="2:9" ht="13.5">
      <c r="B101" s="42">
        <v>6.8</v>
      </c>
      <c r="C101" s="6" t="s">
        <v>237</v>
      </c>
      <c r="D101" s="50" t="s">
        <v>18</v>
      </c>
      <c r="E101" s="52" t="s">
        <v>152</v>
      </c>
      <c r="F101" s="61">
        <v>46389</v>
      </c>
      <c r="G101" s="47">
        <v>46394</v>
      </c>
      <c r="H101" s="66">
        <f t="shared" si="4"/>
        <v>6</v>
      </c>
      <c r="I101" s="6" t="s">
        <v>238</v>
      </c>
    </row>
    <row r="102" spans="2:9" ht="13.5">
      <c r="B102" s="42">
        <v>6.9</v>
      </c>
      <c r="C102" s="6" t="s">
        <v>239</v>
      </c>
      <c r="D102" s="50" t="s">
        <v>18</v>
      </c>
      <c r="E102" s="52" t="s">
        <v>152</v>
      </c>
      <c r="F102" s="61">
        <v>46390</v>
      </c>
      <c r="G102" s="47">
        <v>46395</v>
      </c>
      <c r="H102" s="66">
        <f t="shared" si="4"/>
        <v>6</v>
      </c>
      <c r="I102" s="6" t="s">
        <v>240</v>
      </c>
    </row>
    <row r="103" spans="2:9" ht="13.5">
      <c r="B103" s="42" t="s">
        <v>241</v>
      </c>
      <c r="C103" s="6" t="s">
        <v>242</v>
      </c>
      <c r="D103" s="50" t="s">
        <v>18</v>
      </c>
      <c r="E103" s="52" t="s">
        <v>152</v>
      </c>
      <c r="F103" s="61">
        <v>46391</v>
      </c>
      <c r="G103" s="47">
        <v>46396</v>
      </c>
      <c r="H103" s="66">
        <f t="shared" si="4"/>
        <v>6</v>
      </c>
      <c r="I103" s="6" t="s">
        <v>243</v>
      </c>
    </row>
    <row r="104" spans="2:9" ht="13.5">
      <c r="B104" s="42" t="s">
        <v>244</v>
      </c>
      <c r="C104" s="6" t="s">
        <v>245</v>
      </c>
      <c r="D104" s="50" t="s">
        <v>18</v>
      </c>
      <c r="E104" s="52" t="s">
        <v>152</v>
      </c>
      <c r="F104" s="61">
        <v>46392</v>
      </c>
      <c r="G104" s="47">
        <v>46397</v>
      </c>
      <c r="H104" s="66">
        <f t="shared" si="4"/>
        <v>6</v>
      </c>
      <c r="I104" s="6" t="s">
        <v>246</v>
      </c>
    </row>
    <row r="105" spans="2:9" ht="13.5">
      <c r="B105" s="42" t="s">
        <v>247</v>
      </c>
      <c r="C105" s="6" t="s">
        <v>248</v>
      </c>
      <c r="D105" s="50" t="s">
        <v>18</v>
      </c>
      <c r="E105" s="52" t="s">
        <v>152</v>
      </c>
      <c r="F105" s="61">
        <v>46393</v>
      </c>
      <c r="G105" s="47">
        <v>46398</v>
      </c>
      <c r="H105" s="66">
        <f t="shared" si="4"/>
        <v>6</v>
      </c>
      <c r="I105" s="6" t="s">
        <v>249</v>
      </c>
    </row>
    <row r="106" spans="2:9" ht="13.5">
      <c r="B106" s="42" t="s">
        <v>250</v>
      </c>
      <c r="C106" s="6" t="s">
        <v>251</v>
      </c>
      <c r="D106" s="50" t="s">
        <v>18</v>
      </c>
      <c r="E106" s="52" t="s">
        <v>152</v>
      </c>
      <c r="F106" s="61">
        <v>46394</v>
      </c>
      <c r="G106" s="47">
        <v>46399</v>
      </c>
      <c r="H106" s="66">
        <f t="shared" si="4"/>
        <v>6</v>
      </c>
      <c r="I106" s="6" t="s">
        <v>199</v>
      </c>
    </row>
    <row r="107" spans="2:9" ht="13.5">
      <c r="B107" s="42" t="s">
        <v>252</v>
      </c>
      <c r="C107" s="6" t="s">
        <v>253</v>
      </c>
      <c r="D107" s="50" t="s">
        <v>18</v>
      </c>
      <c r="E107" s="52" t="s">
        <v>152</v>
      </c>
      <c r="F107" s="61">
        <v>46395</v>
      </c>
      <c r="G107" s="47">
        <v>46400</v>
      </c>
      <c r="H107" s="66">
        <f t="shared" si="4"/>
        <v>6</v>
      </c>
      <c r="I107" s="6" t="s">
        <v>254</v>
      </c>
    </row>
    <row r="108" spans="2:9" ht="13.5">
      <c r="B108" s="76">
        <v>7</v>
      </c>
      <c r="C108" s="76" t="s">
        <v>255</v>
      </c>
      <c r="D108" s="76"/>
      <c r="E108" s="77"/>
      <c r="F108" s="78">
        <v>46396</v>
      </c>
      <c r="G108" s="79">
        <v>46401</v>
      </c>
      <c r="H108" s="80">
        <f t="shared" ref="H108:H122" si="5">IF(F108=0,0,G108-F108)+1</f>
        <v>6</v>
      </c>
      <c r="I108" s="76"/>
    </row>
    <row r="109" spans="2:9" ht="13.5">
      <c r="B109" s="42">
        <v>7.1</v>
      </c>
      <c r="C109" s="43" t="s">
        <v>256</v>
      </c>
      <c r="D109" s="42" t="s">
        <v>18</v>
      </c>
      <c r="E109" s="45" t="s">
        <v>53</v>
      </c>
      <c r="F109" s="61">
        <v>46397</v>
      </c>
      <c r="G109" s="47">
        <v>46402</v>
      </c>
      <c r="H109" s="65">
        <f t="shared" si="5"/>
        <v>6</v>
      </c>
      <c r="I109" s="42" t="s">
        <v>145</v>
      </c>
    </row>
    <row r="110" spans="2:9" ht="13.5">
      <c r="B110" s="42">
        <v>7.2</v>
      </c>
      <c r="C110" s="43" t="s">
        <v>257</v>
      </c>
      <c r="D110" s="42" t="s">
        <v>18</v>
      </c>
      <c r="E110" s="45" t="s">
        <v>147</v>
      </c>
      <c r="F110" s="61">
        <v>46398</v>
      </c>
      <c r="G110" s="47">
        <v>46403</v>
      </c>
      <c r="H110" s="65">
        <f t="shared" si="5"/>
        <v>6</v>
      </c>
      <c r="I110" s="42" t="s">
        <v>148</v>
      </c>
    </row>
    <row r="111" spans="2:9" ht="24.75">
      <c r="B111" s="42">
        <v>7.3</v>
      </c>
      <c r="C111" s="43" t="s">
        <v>258</v>
      </c>
      <c r="D111" s="42" t="s">
        <v>18</v>
      </c>
      <c r="E111" s="45" t="s">
        <v>22</v>
      </c>
      <c r="F111" s="61">
        <v>46399</v>
      </c>
      <c r="G111" s="47">
        <v>46404</v>
      </c>
      <c r="H111" s="65">
        <f t="shared" si="5"/>
        <v>6</v>
      </c>
      <c r="I111" s="42" t="s">
        <v>150</v>
      </c>
    </row>
    <row r="112" spans="2:9" ht="13.5">
      <c r="B112" s="42">
        <v>7.4</v>
      </c>
      <c r="C112" s="51" t="s">
        <v>259</v>
      </c>
      <c r="D112" s="50" t="s">
        <v>18</v>
      </c>
      <c r="E112" s="52" t="s">
        <v>152</v>
      </c>
      <c r="F112" s="61">
        <v>46400</v>
      </c>
      <c r="G112" s="47">
        <v>46405</v>
      </c>
      <c r="H112" s="66">
        <f t="shared" si="5"/>
        <v>6</v>
      </c>
      <c r="I112" s="50" t="s">
        <v>153</v>
      </c>
    </row>
    <row r="113" spans="2:9" ht="13.5">
      <c r="B113" s="42">
        <v>7.5</v>
      </c>
      <c r="C113" s="6" t="s">
        <v>260</v>
      </c>
      <c r="D113" s="50" t="s">
        <v>18</v>
      </c>
      <c r="E113" s="52" t="s">
        <v>152</v>
      </c>
      <c r="F113" s="61">
        <v>46401</v>
      </c>
      <c r="G113" s="47">
        <v>46406</v>
      </c>
      <c r="H113" s="66">
        <f t="shared" si="5"/>
        <v>6</v>
      </c>
      <c r="I113" s="6"/>
    </row>
    <row r="114" spans="2:9" ht="13.5">
      <c r="B114" s="81">
        <v>8</v>
      </c>
      <c r="C114" s="81" t="s">
        <v>261</v>
      </c>
      <c r="D114" s="81"/>
      <c r="E114" s="82"/>
      <c r="F114" s="83">
        <v>46402</v>
      </c>
      <c r="G114" s="84">
        <v>46407</v>
      </c>
      <c r="H114" s="85">
        <f t="shared" ref="H114:H132" si="6">IF(F114=0,0,G114-F114)+1</f>
        <v>6</v>
      </c>
      <c r="I114" s="81"/>
    </row>
    <row r="115" spans="2:9" ht="13.5">
      <c r="B115" s="42">
        <v>8.1</v>
      </c>
      <c r="C115" s="43" t="s">
        <v>262</v>
      </c>
      <c r="D115" s="42" t="s">
        <v>18</v>
      </c>
      <c r="E115" s="45" t="s">
        <v>53</v>
      </c>
      <c r="F115" s="61">
        <v>46403</v>
      </c>
      <c r="G115" s="47">
        <v>46408</v>
      </c>
      <c r="H115" s="65">
        <f t="shared" si="6"/>
        <v>6</v>
      </c>
      <c r="I115" s="42" t="s">
        <v>145</v>
      </c>
    </row>
    <row r="116" spans="2:9" ht="13.5">
      <c r="B116" s="42">
        <v>8.1999999999999993</v>
      </c>
      <c r="C116" s="43" t="s">
        <v>263</v>
      </c>
      <c r="D116" s="42" t="s">
        <v>18</v>
      </c>
      <c r="E116" s="45" t="s">
        <v>147</v>
      </c>
      <c r="F116" s="61">
        <v>46404</v>
      </c>
      <c r="G116" s="47">
        <v>46409</v>
      </c>
      <c r="H116" s="65">
        <f t="shared" si="6"/>
        <v>6</v>
      </c>
      <c r="I116" s="42" t="s">
        <v>148</v>
      </c>
    </row>
    <row r="117" spans="2:9" ht="24.75">
      <c r="B117" s="42">
        <v>8.3000000000000007</v>
      </c>
      <c r="C117" s="43" t="s">
        <v>264</v>
      </c>
      <c r="D117" s="42" t="s">
        <v>18</v>
      </c>
      <c r="E117" s="45" t="s">
        <v>22</v>
      </c>
      <c r="F117" s="61">
        <v>46405</v>
      </c>
      <c r="G117" s="47">
        <v>46410</v>
      </c>
      <c r="H117" s="65">
        <f t="shared" si="6"/>
        <v>6</v>
      </c>
      <c r="I117" s="42" t="s">
        <v>150</v>
      </c>
    </row>
    <row r="118" spans="2:9" ht="13.5">
      <c r="B118" s="42">
        <v>8.4</v>
      </c>
      <c r="C118" s="51" t="s">
        <v>265</v>
      </c>
      <c r="D118" s="50" t="s">
        <v>18</v>
      </c>
      <c r="E118" s="52" t="s">
        <v>152</v>
      </c>
      <c r="F118" s="61">
        <v>46406</v>
      </c>
      <c r="G118" s="47">
        <v>46411</v>
      </c>
      <c r="H118" s="66">
        <f t="shared" si="6"/>
        <v>6</v>
      </c>
      <c r="I118" s="50" t="s">
        <v>153</v>
      </c>
    </row>
    <row r="119" spans="2:9" ht="13.5">
      <c r="B119" s="42">
        <v>8.5</v>
      </c>
      <c r="C119" s="6" t="s">
        <v>266</v>
      </c>
      <c r="D119" s="50" t="s">
        <v>18</v>
      </c>
      <c r="E119" s="52" t="s">
        <v>152</v>
      </c>
      <c r="F119" s="61">
        <v>46407</v>
      </c>
      <c r="G119" s="47">
        <v>46412</v>
      </c>
      <c r="H119" s="66">
        <f t="shared" si="6"/>
        <v>6</v>
      </c>
      <c r="I119" s="6" t="s">
        <v>267</v>
      </c>
    </row>
    <row r="120" spans="2:9" ht="15.75">
      <c r="B120" s="42">
        <v>8.6</v>
      </c>
      <c r="C120" t="s">
        <v>268</v>
      </c>
      <c r="D120" s="50" t="s">
        <v>18</v>
      </c>
      <c r="E120" s="52" t="s">
        <v>152</v>
      </c>
      <c r="F120" s="61">
        <v>46408</v>
      </c>
      <c r="G120" s="47">
        <v>46413</v>
      </c>
      <c r="H120" s="66">
        <f t="shared" si="6"/>
        <v>6</v>
      </c>
      <c r="I120" t="s">
        <v>269</v>
      </c>
    </row>
    <row r="121" spans="2:9" ht="15.75">
      <c r="B121" s="42">
        <v>8.6999999999999993</v>
      </c>
      <c r="C121" t="s">
        <v>270</v>
      </c>
      <c r="D121" s="50" t="s">
        <v>18</v>
      </c>
      <c r="E121" s="52" t="s">
        <v>152</v>
      </c>
      <c r="F121" s="61">
        <v>46409</v>
      </c>
      <c r="G121" s="47">
        <v>46414</v>
      </c>
      <c r="H121" s="66">
        <f t="shared" si="6"/>
        <v>6</v>
      </c>
      <c r="I121" t="s">
        <v>271</v>
      </c>
    </row>
    <row r="122" spans="2:9" ht="15.75">
      <c r="B122" s="42">
        <v>8.8000000000000007</v>
      </c>
      <c r="C122" t="s">
        <v>272</v>
      </c>
      <c r="D122" s="50" t="s">
        <v>18</v>
      </c>
      <c r="E122" s="52" t="s">
        <v>152</v>
      </c>
      <c r="F122" s="61">
        <v>46410</v>
      </c>
      <c r="G122" s="47">
        <v>46415</v>
      </c>
      <c r="H122" s="66">
        <f t="shared" si="6"/>
        <v>6</v>
      </c>
      <c r="I122" t="s">
        <v>273</v>
      </c>
    </row>
    <row r="123" spans="2:9" ht="13.5">
      <c r="B123" s="42">
        <v>8.9</v>
      </c>
      <c r="C123" s="6" t="s">
        <v>274</v>
      </c>
      <c r="D123" s="50" t="s">
        <v>18</v>
      </c>
      <c r="E123" s="52" t="s">
        <v>152</v>
      </c>
      <c r="F123" s="61">
        <v>46411</v>
      </c>
      <c r="G123" s="47">
        <v>46416</v>
      </c>
      <c r="H123" s="66">
        <f t="shared" si="6"/>
        <v>6</v>
      </c>
      <c r="I123" s="6" t="s">
        <v>275</v>
      </c>
    </row>
    <row r="124" spans="2:9" ht="13.5">
      <c r="B124" s="42" t="s">
        <v>276</v>
      </c>
      <c r="C124" s="6" t="s">
        <v>277</v>
      </c>
      <c r="D124" s="50" t="s">
        <v>18</v>
      </c>
      <c r="E124" s="52" t="s">
        <v>152</v>
      </c>
      <c r="F124" s="61">
        <v>46412</v>
      </c>
      <c r="G124" s="47">
        <v>46417</v>
      </c>
      <c r="H124" s="66">
        <f t="shared" si="6"/>
        <v>6</v>
      </c>
      <c r="I124" s="6" t="s">
        <v>278</v>
      </c>
    </row>
    <row r="125" spans="2:9" ht="13.5">
      <c r="B125" s="42" t="s">
        <v>279</v>
      </c>
      <c r="C125" s="6" t="s">
        <v>280</v>
      </c>
      <c r="D125" s="50" t="s">
        <v>18</v>
      </c>
      <c r="E125" s="52" t="s">
        <v>152</v>
      </c>
      <c r="F125" s="61">
        <v>46413</v>
      </c>
      <c r="G125" s="47">
        <v>46418</v>
      </c>
      <c r="H125" s="66">
        <f t="shared" si="6"/>
        <v>6</v>
      </c>
      <c r="I125" s="6" t="s">
        <v>281</v>
      </c>
    </row>
    <row r="126" spans="2:9" ht="13.5">
      <c r="B126" s="42" t="s">
        <v>282</v>
      </c>
      <c r="C126" s="6" t="s">
        <v>283</v>
      </c>
      <c r="D126" s="50" t="s">
        <v>18</v>
      </c>
      <c r="E126" s="52" t="s">
        <v>152</v>
      </c>
      <c r="F126" s="61">
        <v>46414</v>
      </c>
      <c r="G126" s="47">
        <v>46419</v>
      </c>
      <c r="H126" s="66">
        <f t="shared" si="6"/>
        <v>6</v>
      </c>
      <c r="I126" s="6" t="s">
        <v>284</v>
      </c>
    </row>
    <row r="127" spans="2:9" ht="13.5">
      <c r="B127" s="86">
        <v>9</v>
      </c>
      <c r="C127" s="86" t="s">
        <v>285</v>
      </c>
      <c r="D127" s="86"/>
      <c r="E127" s="87"/>
      <c r="F127" s="88">
        <v>46415</v>
      </c>
      <c r="G127" s="89">
        <v>46420</v>
      </c>
      <c r="H127" s="90">
        <f t="shared" si="6"/>
        <v>6</v>
      </c>
      <c r="I127" s="86"/>
    </row>
    <row r="128" spans="2:9" ht="13.5">
      <c r="B128" s="42">
        <v>9.1</v>
      </c>
      <c r="C128" s="43" t="s">
        <v>286</v>
      </c>
      <c r="D128" s="42" t="s">
        <v>18</v>
      </c>
      <c r="E128" s="45" t="s">
        <v>53</v>
      </c>
      <c r="F128" s="61">
        <v>46416</v>
      </c>
      <c r="G128" s="47">
        <v>46421</v>
      </c>
      <c r="H128" s="65">
        <f t="shared" si="6"/>
        <v>6</v>
      </c>
      <c r="I128" s="42" t="s">
        <v>145</v>
      </c>
    </row>
    <row r="129" spans="2:9" ht="13.5">
      <c r="B129" s="42">
        <v>9.1999999999999993</v>
      </c>
      <c r="C129" s="43" t="s">
        <v>287</v>
      </c>
      <c r="D129" s="42" t="s">
        <v>18</v>
      </c>
      <c r="E129" s="45" t="s">
        <v>147</v>
      </c>
      <c r="F129" s="61">
        <v>46417</v>
      </c>
      <c r="G129" s="47">
        <v>46422</v>
      </c>
      <c r="H129" s="65">
        <f t="shared" si="6"/>
        <v>6</v>
      </c>
      <c r="I129" s="42" t="s">
        <v>148</v>
      </c>
    </row>
    <row r="130" spans="2:9" ht="24.75">
      <c r="B130" s="42">
        <v>9.3000000000000007</v>
      </c>
      <c r="C130" s="43" t="s">
        <v>288</v>
      </c>
      <c r="D130" s="42" t="s">
        <v>18</v>
      </c>
      <c r="E130" s="45" t="s">
        <v>22</v>
      </c>
      <c r="F130" s="61">
        <v>46418</v>
      </c>
      <c r="G130" s="47">
        <v>46423</v>
      </c>
      <c r="H130" s="65">
        <f t="shared" si="6"/>
        <v>6</v>
      </c>
      <c r="I130" s="42" t="s">
        <v>150</v>
      </c>
    </row>
    <row r="131" spans="2:9" ht="13.5">
      <c r="B131" s="42">
        <v>9.4</v>
      </c>
      <c r="C131" s="51" t="s">
        <v>289</v>
      </c>
      <c r="D131" s="50" t="s">
        <v>18</v>
      </c>
      <c r="E131" s="52" t="s">
        <v>152</v>
      </c>
      <c r="F131" s="61">
        <v>46419</v>
      </c>
      <c r="G131" s="47">
        <v>46424</v>
      </c>
      <c r="H131" s="66">
        <f t="shared" si="6"/>
        <v>6</v>
      </c>
      <c r="I131" s="50" t="s">
        <v>153</v>
      </c>
    </row>
    <row r="132" spans="2:9" ht="13.5">
      <c r="B132" s="50">
        <v>9.5</v>
      </c>
      <c r="C132" s="6" t="s">
        <v>290</v>
      </c>
      <c r="D132" s="50" t="s">
        <v>18</v>
      </c>
      <c r="E132" s="52" t="s">
        <v>152</v>
      </c>
      <c r="F132" s="61">
        <v>46420</v>
      </c>
      <c r="G132" s="47">
        <v>46425</v>
      </c>
      <c r="H132" s="66">
        <f t="shared" si="6"/>
        <v>6</v>
      </c>
      <c r="I132" s="6" t="s">
        <v>291</v>
      </c>
    </row>
    <row r="133" spans="2:9" ht="13.5">
      <c r="B133" s="91">
        <v>10</v>
      </c>
      <c r="C133" s="91" t="s">
        <v>292</v>
      </c>
      <c r="D133" s="91"/>
      <c r="E133" s="92"/>
      <c r="F133" s="93">
        <v>46421</v>
      </c>
      <c r="G133" s="94">
        <v>46426</v>
      </c>
      <c r="H133" s="95">
        <f t="shared" ref="H133:H144" si="7">IF(F133=0,0,G133-F133)+1</f>
        <v>6</v>
      </c>
      <c r="I133" s="91"/>
    </row>
    <row r="134" spans="2:9" ht="13.5">
      <c r="B134" s="42">
        <v>10.1</v>
      </c>
      <c r="C134" s="43" t="s">
        <v>293</v>
      </c>
      <c r="D134" s="42" t="s">
        <v>18</v>
      </c>
      <c r="E134" s="45" t="s">
        <v>53</v>
      </c>
      <c r="F134" s="61">
        <v>46422</v>
      </c>
      <c r="G134" s="47">
        <v>46427</v>
      </c>
      <c r="H134" s="65">
        <f t="shared" si="7"/>
        <v>6</v>
      </c>
      <c r="I134" s="42" t="s">
        <v>145</v>
      </c>
    </row>
    <row r="135" spans="2:9" ht="13.5">
      <c r="B135" s="42">
        <v>10.199999999999999</v>
      </c>
      <c r="C135" s="43" t="s">
        <v>294</v>
      </c>
      <c r="D135" s="42" t="s">
        <v>18</v>
      </c>
      <c r="E135" s="45" t="s">
        <v>147</v>
      </c>
      <c r="F135" s="61">
        <v>46423</v>
      </c>
      <c r="G135" s="47">
        <v>46428</v>
      </c>
      <c r="H135" s="65">
        <f t="shared" si="7"/>
        <v>6</v>
      </c>
      <c r="I135" s="42" t="s">
        <v>148</v>
      </c>
    </row>
    <row r="136" spans="2:9" ht="24.75">
      <c r="B136" s="42">
        <v>10.3</v>
      </c>
      <c r="C136" s="43" t="s">
        <v>295</v>
      </c>
      <c r="D136" s="42" t="s">
        <v>18</v>
      </c>
      <c r="E136" s="45" t="s">
        <v>22</v>
      </c>
      <c r="F136" s="61">
        <v>46424</v>
      </c>
      <c r="G136" s="47">
        <v>46429</v>
      </c>
      <c r="H136" s="65">
        <f t="shared" si="7"/>
        <v>6</v>
      </c>
      <c r="I136" s="42" t="s">
        <v>150</v>
      </c>
    </row>
    <row r="137" spans="2:9" ht="13.5">
      <c r="B137" s="42">
        <v>10.4</v>
      </c>
      <c r="C137" s="51" t="s">
        <v>296</v>
      </c>
      <c r="D137" s="50" t="s">
        <v>18</v>
      </c>
      <c r="E137" s="52" t="s">
        <v>152</v>
      </c>
      <c r="F137" s="61">
        <v>46425</v>
      </c>
      <c r="G137" s="47">
        <v>46430</v>
      </c>
      <c r="H137" s="66">
        <f t="shared" si="7"/>
        <v>6</v>
      </c>
      <c r="I137" s="50" t="s">
        <v>153</v>
      </c>
    </row>
    <row r="138" spans="2:9" ht="13.5">
      <c r="B138" s="42">
        <v>10.5</v>
      </c>
      <c r="C138" s="6" t="s">
        <v>297</v>
      </c>
      <c r="D138" s="50" t="s">
        <v>18</v>
      </c>
      <c r="E138" s="52" t="s">
        <v>152</v>
      </c>
      <c r="F138" s="61">
        <v>46426</v>
      </c>
      <c r="G138" s="47">
        <v>46431</v>
      </c>
      <c r="H138" s="66">
        <f t="shared" si="7"/>
        <v>6</v>
      </c>
      <c r="I138" s="6" t="s">
        <v>298</v>
      </c>
    </row>
    <row r="139" spans="2:9" ht="13.5">
      <c r="B139" s="42">
        <v>10.6</v>
      </c>
      <c r="C139" s="6" t="s">
        <v>299</v>
      </c>
      <c r="D139" s="50" t="s">
        <v>18</v>
      </c>
      <c r="E139" s="52" t="s">
        <v>152</v>
      </c>
      <c r="F139" s="61">
        <v>46427</v>
      </c>
      <c r="G139" s="47">
        <v>46432</v>
      </c>
      <c r="H139" s="66">
        <f t="shared" si="7"/>
        <v>6</v>
      </c>
      <c r="I139" s="6" t="s">
        <v>300</v>
      </c>
    </row>
    <row r="140" spans="2:9" ht="13.5">
      <c r="B140" s="42">
        <v>10.7</v>
      </c>
      <c r="C140" s="6" t="s">
        <v>301</v>
      </c>
      <c r="D140" s="50" t="s">
        <v>18</v>
      </c>
      <c r="E140" s="52" t="s">
        <v>152</v>
      </c>
      <c r="F140" s="61">
        <v>46428</v>
      </c>
      <c r="G140" s="47">
        <v>46433</v>
      </c>
      <c r="H140" s="66">
        <f t="shared" si="7"/>
        <v>6</v>
      </c>
      <c r="I140" s="6" t="s">
        <v>302</v>
      </c>
    </row>
    <row r="141" spans="2:9" ht="13.5">
      <c r="B141" s="42">
        <v>10.8</v>
      </c>
      <c r="C141" s="6" t="s">
        <v>303</v>
      </c>
      <c r="D141" s="50" t="s">
        <v>18</v>
      </c>
      <c r="E141" s="52" t="s">
        <v>152</v>
      </c>
      <c r="F141" s="61">
        <v>46429</v>
      </c>
      <c r="G141" s="47">
        <v>46434</v>
      </c>
      <c r="H141" s="66">
        <f t="shared" si="7"/>
        <v>6</v>
      </c>
      <c r="I141" s="6" t="s">
        <v>304</v>
      </c>
    </row>
    <row r="142" spans="2:9" ht="15.75">
      <c r="B142"/>
      <c r="C142"/>
      <c r="D142"/>
      <c r="E142"/>
      <c r="F142"/>
      <c r="G142"/>
      <c r="H142"/>
      <c r="I142"/>
    </row>
    <row r="143" spans="2:9" ht="15.75">
      <c r="B143"/>
      <c r="C143"/>
      <c r="D143"/>
      <c r="E143"/>
      <c r="F143"/>
      <c r="G143"/>
      <c r="H143"/>
      <c r="I143"/>
    </row>
    <row r="144" spans="2:9" ht="15.75">
      <c r="B144"/>
      <c r="C144"/>
      <c r="D144"/>
      <c r="E144"/>
      <c r="F144"/>
      <c r="G144"/>
      <c r="H144"/>
      <c r="I144"/>
    </row>
  </sheetData>
  <phoneticPr fontId="3" type="noConversion"/>
  <conditionalFormatting sqref="D8 D19 D23:D141">
    <cfRule type="containsText" dxfId="70" priority="62" operator="containsText" text="Complete">
      <formula>NOT(ISERROR(SEARCH("Complete",D8)))</formula>
    </cfRule>
    <cfRule type="containsText" dxfId="69" priority="63" operator="containsText" text="In Progress">
      <formula>NOT(ISERROR(SEARCH("In Progress",D8)))</formula>
    </cfRule>
    <cfRule type="containsText" dxfId="68" priority="64" operator="containsText" text="Not Started">
      <formula>NOT(ISERROR(SEARCH("Not Started",D8)))</formula>
    </cfRule>
  </conditionalFormatting>
  <conditionalFormatting sqref="D9:D18">
    <cfRule type="containsText" dxfId="67" priority="41" stopIfTrue="1" operator="containsText" text="On Hold">
      <formula>NOT(ISERROR(SEARCH("On Hold",D9)))</formula>
    </cfRule>
    <cfRule type="containsText" dxfId="66" priority="42" operator="containsText" text="Complete">
      <formula>NOT(ISERROR(SEARCH("Complete",D9)))</formula>
    </cfRule>
    <cfRule type="containsText" dxfId="65" priority="43" operator="containsText" text="In Progress">
      <formula>NOT(ISERROR(SEARCH("In Progress",D9)))</formula>
    </cfRule>
    <cfRule type="containsText" dxfId="64" priority="44" operator="containsText" text="Not Started">
      <formula>NOT(ISERROR(SEARCH("Not Started",D9)))</formula>
    </cfRule>
  </conditionalFormatting>
  <conditionalFormatting sqref="D19 D8 D23:D141">
    <cfRule type="containsText" dxfId="63" priority="61" operator="containsText" text="On Hold">
      <formula>NOT(ISERROR(SEARCH("On Hold",D8)))</formula>
    </cfRule>
  </conditionalFormatting>
  <conditionalFormatting sqref="D23:D35">
    <cfRule type="cellIs" dxfId="62" priority="53" operator="equal">
      <formula>"En Espera"</formula>
    </cfRule>
    <cfRule type="cellIs" dxfId="61" priority="54" operator="equal">
      <formula>"En Progreso"</formula>
    </cfRule>
    <cfRule type="cellIs" dxfId="60" priority="55" operator="equal">
      <formula>"No Iniciado"</formula>
    </cfRule>
    <cfRule type="cellIs" dxfId="59" priority="56" operator="equal">
      <formula>"Completo"</formula>
    </cfRule>
  </conditionalFormatting>
  <conditionalFormatting sqref="D37:D55">
    <cfRule type="cellIs" dxfId="58" priority="49" operator="equal">
      <formula>"En Espera"</formula>
    </cfRule>
    <cfRule type="cellIs" dxfId="57" priority="50" operator="equal">
      <formula>"En Progreso"</formula>
    </cfRule>
    <cfRule type="cellIs" dxfId="56" priority="51" operator="equal">
      <formula>"No Iniciado"</formula>
    </cfRule>
    <cfRule type="cellIs" dxfId="55" priority="52" operator="equal">
      <formula>"Completo"</formula>
    </cfRule>
  </conditionalFormatting>
  <conditionalFormatting sqref="D57:D64">
    <cfRule type="cellIs" dxfId="54" priority="45" operator="equal">
      <formula>"En Espera"</formula>
    </cfRule>
    <cfRule type="cellIs" dxfId="53" priority="46" operator="equal">
      <formula>"En Progreso"</formula>
    </cfRule>
    <cfRule type="cellIs" dxfId="52" priority="47" operator="equal">
      <formula>"No Iniciado"</formula>
    </cfRule>
    <cfRule type="cellIs" dxfId="51" priority="48" operator="equal">
      <formula>"Completo"</formula>
    </cfRule>
  </conditionalFormatting>
  <conditionalFormatting sqref="K8:K11">
    <cfRule type="containsText" dxfId="50" priority="73" stopIfTrue="1" operator="containsText" text="On Hold">
      <formula>NOT(ISERROR(SEARCH("On Hold",K8)))</formula>
    </cfRule>
    <cfRule type="containsText" dxfId="49" priority="74" operator="containsText" text="Complete">
      <formula>NOT(ISERROR(SEARCH("Complete",K8)))</formula>
    </cfRule>
    <cfRule type="containsText" dxfId="48" priority="75" operator="containsText" text="In Progress">
      <formula>NOT(ISERROR(SEARCH("In Progress",K8)))</formula>
    </cfRule>
    <cfRule type="containsText" dxfId="47" priority="76" operator="containsText" text="Not Started">
      <formula>NOT(ISERROR(SEARCH("Not Started",K8)))</formula>
    </cfRule>
  </conditionalFormatting>
  <conditionalFormatting sqref="D20">
    <cfRule type="containsText" dxfId="46" priority="37" stopIfTrue="1" operator="containsText" text="On Hold">
      <formula>NOT(ISERROR(SEARCH("On Hold",D20)))</formula>
    </cfRule>
    <cfRule type="containsText" dxfId="45" priority="38" operator="containsText" text="Complete">
      <formula>NOT(ISERROR(SEARCH("Complete",D20)))</formula>
    </cfRule>
    <cfRule type="containsText" dxfId="44" priority="39" operator="containsText" text="In Progress">
      <formula>NOT(ISERROR(SEARCH("In Progress",D20)))</formula>
    </cfRule>
    <cfRule type="containsText" dxfId="43" priority="40" operator="containsText" text="Not Started">
      <formula>NOT(ISERROR(SEARCH("Not Started",D20)))</formula>
    </cfRule>
  </conditionalFormatting>
  <conditionalFormatting sqref="D21">
    <cfRule type="containsText" dxfId="42" priority="33" stopIfTrue="1" operator="containsText" text="On Hold">
      <formula>NOT(ISERROR(SEARCH("On Hold",D21)))</formula>
    </cfRule>
    <cfRule type="containsText" dxfId="41" priority="34" operator="containsText" text="Complete">
      <formula>NOT(ISERROR(SEARCH("Complete",D21)))</formula>
    </cfRule>
    <cfRule type="containsText" dxfId="40" priority="35" operator="containsText" text="In Progress">
      <formula>NOT(ISERROR(SEARCH("In Progress",D21)))</formula>
    </cfRule>
    <cfRule type="containsText" dxfId="39" priority="36" operator="containsText" text="Not Started">
      <formula>NOT(ISERROR(SEARCH("Not Started",D21)))</formula>
    </cfRule>
  </conditionalFormatting>
  <conditionalFormatting sqref="D22">
    <cfRule type="containsText" dxfId="38" priority="29" stopIfTrue="1" operator="containsText" text="On Hold">
      <formula>NOT(ISERROR(SEARCH("On Hold",D22)))</formula>
    </cfRule>
    <cfRule type="containsText" dxfId="37" priority="30" operator="containsText" text="Complete">
      <formula>NOT(ISERROR(SEARCH("Complete",D22)))</formula>
    </cfRule>
    <cfRule type="containsText" dxfId="36" priority="31" operator="containsText" text="In Progress">
      <formula>NOT(ISERROR(SEARCH("In Progress",D22)))</formula>
    </cfRule>
    <cfRule type="containsText" dxfId="35" priority="32" operator="containsText" text="Not Started">
      <formula>NOT(ISERROR(SEARCH("Not Started",D22)))</formula>
    </cfRule>
  </conditionalFormatting>
  <conditionalFormatting sqref="D66:D92">
    <cfRule type="cellIs" dxfId="34" priority="21" operator="equal">
      <formula>"En Espera"</formula>
    </cfRule>
    <cfRule type="cellIs" dxfId="33" priority="22" operator="equal">
      <formula>"En Progreso"</formula>
    </cfRule>
    <cfRule type="cellIs" dxfId="32" priority="23" operator="equal">
      <formula>"No Iniciado"</formula>
    </cfRule>
    <cfRule type="cellIs" dxfId="31" priority="24" operator="equal">
      <formula>"Completo"</formula>
    </cfRule>
  </conditionalFormatting>
  <conditionalFormatting sqref="D94:D107">
    <cfRule type="cellIs" dxfId="30" priority="17" operator="equal">
      <formula>"En Espera"</formula>
    </cfRule>
    <cfRule type="cellIs" dxfId="29" priority="18" operator="equal">
      <formula>"En Progreso"</formula>
    </cfRule>
    <cfRule type="cellIs" dxfId="28" priority="19" operator="equal">
      <formula>"No Iniciado"</formula>
    </cfRule>
    <cfRule type="cellIs" dxfId="27" priority="20" operator="equal">
      <formula>"Completo"</formula>
    </cfRule>
  </conditionalFormatting>
  <conditionalFormatting sqref="D109:D113">
    <cfRule type="cellIs" dxfId="26" priority="13" operator="equal">
      <formula>"En Espera"</formula>
    </cfRule>
    <cfRule type="cellIs" dxfId="25" priority="14" operator="equal">
      <formula>"En Progreso"</formula>
    </cfRule>
    <cfRule type="cellIs" dxfId="24" priority="15" operator="equal">
      <formula>"No Iniciado"</formula>
    </cfRule>
    <cfRule type="cellIs" dxfId="23" priority="16" operator="equal">
      <formula>"Completo"</formula>
    </cfRule>
  </conditionalFormatting>
  <conditionalFormatting sqref="D115:D126">
    <cfRule type="cellIs" dxfId="22" priority="9" operator="equal">
      <formula>"En Espera"</formula>
    </cfRule>
    <cfRule type="cellIs" dxfId="21" priority="10" operator="equal">
      <formula>"En Progreso"</formula>
    </cfRule>
    <cfRule type="cellIs" dxfId="20" priority="11" operator="equal">
      <formula>"No Iniciado"</formula>
    </cfRule>
    <cfRule type="cellIs" dxfId="19" priority="12" operator="equal">
      <formula>"Completo"</formula>
    </cfRule>
  </conditionalFormatting>
  <conditionalFormatting sqref="D128:D132">
    <cfRule type="cellIs" dxfId="18" priority="5" operator="equal">
      <formula>"En Espera"</formula>
    </cfRule>
    <cfRule type="cellIs" dxfId="17" priority="6" operator="equal">
      <formula>"En Progreso"</formula>
    </cfRule>
    <cfRule type="cellIs" dxfId="16" priority="7" operator="equal">
      <formula>"No Iniciado"</formula>
    </cfRule>
    <cfRule type="cellIs" dxfId="15" priority="8" operator="equal">
      <formula>"Completo"</formula>
    </cfRule>
  </conditionalFormatting>
  <conditionalFormatting sqref="D134:D141">
    <cfRule type="cellIs" dxfId="14" priority="1" operator="equal">
      <formula>"En Espera"</formula>
    </cfRule>
    <cfRule type="cellIs" dxfId="13" priority="2" operator="equal">
      <formula>"En Progreso"</formula>
    </cfRule>
    <cfRule type="cellIs" dxfId="12" priority="3" operator="equal">
      <formula>"No Iniciado"</formula>
    </cfRule>
    <cfRule type="cellIs" dxfId="11" priority="4" operator="equal">
      <formula>"Completo"</formula>
    </cfRule>
  </conditionalFormatting>
  <dataValidations count="1">
    <dataValidation type="list" allowBlank="1" showInputMessage="1" showErrorMessage="1" sqref="D8 D19 D23:D141" xr:uid="{00000000-0002-0000-0000-000000000000}">
      <formula1>$K$8:$K$11</formula1>
    </dataValidation>
  </dataValidations>
  <pageMargins left="0.3" right="0.3" top="0.3" bottom="0.3" header="0" footer="0"/>
  <pageSetup scale="70" fitToHeight="0" orientation="landscape" horizontalDpi="4294967292" verticalDpi="4294967292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Smartsheet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/>
  <cp:revision/>
  <dcterms:created xsi:type="dcterms:W3CDTF">2015-02-24T20:54:23Z</dcterms:created>
  <dcterms:modified xsi:type="dcterms:W3CDTF">2026-03-17T00:08:45Z</dcterms:modified>
  <cp:category/>
  <cp:contentStatus/>
</cp:coreProperties>
</file>