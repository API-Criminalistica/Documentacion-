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smonr\Desktop\"/>
    </mc:Choice>
  </mc:AlternateContent>
  <xr:revisionPtr revIDLastSave="0" documentId="8_{E6EDC685-9B28-418E-A112-5EBAEC8A3148}" xr6:coauthVersionLast="47" xr6:coauthVersionMax="47" xr10:uidLastSave="{00000000-0000-0000-0000-000000000000}"/>
  <bookViews>
    <workbookView xWindow="-120" yWindow="-120" windowWidth="29040" windowHeight="15720" tabRatio="500" xr2:uid="{00000000-000D-0000-FFFF-FFFF00000000}"/>
  </bookViews>
  <sheets>
    <sheet name="Presupuesto del proyecto" sheetId="1" r:id="rId1"/>
    <sheet name="listas desplegables" sheetId="2" r:id="rId2"/>
  </sheets>
  <externalReferences>
    <externalReference r:id="rId3"/>
    <externalReference r:id="rId4"/>
  </externalReferences>
  <definedNames>
    <definedName name="_xlnm.Print_Area" localSheetId="0">'Presupuesto del proyecto'!$B$1:$S$15</definedName>
    <definedName name="Priority">#REF!</definedName>
    <definedName name="Status">'listas desplegables'!$D$5:$D$7</definedName>
    <definedName name="Type" localSheetId="1">'[2]Risk Assessment &amp; Control'!#REF!</definedName>
    <definedName name="Type">'[1]Maintenance Work Order'!#REF!</definedName>
    <definedName name="YesNo">'listas desplegables'!$B$5:$B$6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R115" i="1" l="1"/>
  <c r="Q115" i="1"/>
  <c r="P115" i="1"/>
  <c r="O115" i="1"/>
  <c r="N115" i="1"/>
  <c r="S114" i="1"/>
  <c r="M114" i="1"/>
  <c r="J114" i="1"/>
  <c r="S113" i="1"/>
  <c r="M113" i="1"/>
  <c r="J113" i="1"/>
  <c r="S112" i="1"/>
  <c r="M112" i="1"/>
  <c r="J112" i="1"/>
  <c r="S111" i="1"/>
  <c r="M111" i="1"/>
  <c r="J111" i="1"/>
  <c r="S110" i="1"/>
  <c r="M110" i="1"/>
  <c r="J110" i="1"/>
  <c r="S109" i="1"/>
  <c r="M109" i="1"/>
  <c r="J109" i="1"/>
  <c r="S108" i="1"/>
  <c r="M108" i="1"/>
  <c r="J108" i="1"/>
  <c r="S107" i="1"/>
  <c r="M107" i="1"/>
  <c r="J107" i="1"/>
  <c r="S106" i="1"/>
  <c r="M106" i="1"/>
  <c r="J106" i="1"/>
  <c r="S105" i="1"/>
  <c r="M105" i="1"/>
  <c r="J105" i="1"/>
  <c r="S104" i="1"/>
  <c r="M104" i="1"/>
  <c r="J104" i="1"/>
  <c r="S103" i="1"/>
  <c r="M103" i="1"/>
  <c r="J103" i="1"/>
  <c r="S102" i="1"/>
  <c r="M102" i="1"/>
  <c r="J102" i="1"/>
  <c r="S101" i="1"/>
  <c r="M101" i="1"/>
  <c r="J101" i="1"/>
  <c r="S100" i="1"/>
  <c r="M100" i="1"/>
  <c r="J100" i="1"/>
  <c r="S99" i="1"/>
  <c r="M99" i="1"/>
  <c r="J99" i="1"/>
  <c r="S98" i="1"/>
  <c r="M98" i="1"/>
  <c r="J98" i="1"/>
  <c r="S97" i="1"/>
  <c r="M97" i="1"/>
  <c r="J97" i="1"/>
  <c r="S96" i="1"/>
  <c r="M96" i="1"/>
  <c r="J96" i="1"/>
  <c r="S95" i="1"/>
  <c r="M95" i="1"/>
  <c r="J95" i="1"/>
  <c r="S94" i="1"/>
  <c r="M94" i="1"/>
  <c r="J94" i="1"/>
  <c r="S93" i="1"/>
  <c r="M93" i="1"/>
  <c r="J93" i="1"/>
  <c r="S92" i="1"/>
  <c r="M92" i="1"/>
  <c r="J92" i="1"/>
  <c r="S91" i="1"/>
  <c r="M91" i="1"/>
  <c r="J91" i="1"/>
  <c r="S90" i="1"/>
  <c r="M90" i="1"/>
  <c r="J90" i="1"/>
  <c r="S89" i="1"/>
  <c r="M89" i="1"/>
  <c r="J89" i="1"/>
  <c r="S88" i="1"/>
  <c r="M88" i="1"/>
  <c r="J88" i="1"/>
  <c r="S87" i="1"/>
  <c r="M87" i="1"/>
  <c r="J87" i="1"/>
  <c r="S86" i="1"/>
  <c r="M86" i="1"/>
  <c r="J86" i="1"/>
  <c r="S85" i="1"/>
  <c r="M85" i="1"/>
  <c r="J85" i="1"/>
  <c r="S84" i="1"/>
  <c r="M84" i="1"/>
  <c r="J84" i="1"/>
  <c r="S83" i="1"/>
  <c r="M83" i="1"/>
  <c r="J83" i="1"/>
  <c r="S82" i="1"/>
  <c r="M82" i="1"/>
  <c r="J82" i="1"/>
  <c r="S81" i="1"/>
  <c r="M81" i="1"/>
  <c r="J81" i="1"/>
  <c r="S80" i="1"/>
  <c r="M80" i="1"/>
  <c r="J80" i="1"/>
  <c r="S79" i="1"/>
  <c r="M79" i="1"/>
  <c r="J79" i="1"/>
  <c r="S78" i="1"/>
  <c r="M78" i="1"/>
  <c r="J78" i="1"/>
  <c r="S77" i="1"/>
  <c r="M77" i="1"/>
  <c r="J77" i="1"/>
  <c r="S76" i="1"/>
  <c r="M76" i="1"/>
  <c r="J76" i="1"/>
  <c r="S75" i="1"/>
  <c r="M75" i="1"/>
  <c r="J75" i="1"/>
  <c r="S74" i="1"/>
  <c r="M74" i="1"/>
  <c r="J74" i="1"/>
  <c r="S73" i="1"/>
  <c r="M73" i="1"/>
  <c r="J73" i="1"/>
  <c r="S72" i="1"/>
  <c r="M72" i="1"/>
  <c r="J72" i="1"/>
  <c r="S71" i="1"/>
  <c r="M71" i="1"/>
  <c r="J71" i="1"/>
  <c r="S70" i="1"/>
  <c r="M70" i="1"/>
  <c r="J70" i="1"/>
  <c r="S69" i="1"/>
  <c r="M69" i="1"/>
  <c r="J69" i="1"/>
  <c r="S68" i="1"/>
  <c r="M68" i="1"/>
  <c r="J68" i="1"/>
  <c r="S67" i="1"/>
  <c r="M67" i="1"/>
  <c r="J67" i="1"/>
  <c r="S66" i="1"/>
  <c r="M66" i="1"/>
  <c r="J66" i="1"/>
  <c r="S65" i="1"/>
  <c r="M65" i="1"/>
  <c r="J65" i="1"/>
  <c r="S64" i="1"/>
  <c r="M64" i="1"/>
  <c r="J64" i="1"/>
  <c r="S63" i="1"/>
  <c r="M63" i="1"/>
  <c r="J63" i="1"/>
  <c r="S62" i="1"/>
  <c r="M62" i="1"/>
  <c r="J62" i="1"/>
  <c r="S61" i="1"/>
  <c r="M61" i="1"/>
  <c r="J61" i="1"/>
  <c r="S60" i="1"/>
  <c r="M60" i="1"/>
  <c r="J60" i="1"/>
  <c r="S59" i="1"/>
  <c r="M59" i="1"/>
  <c r="J59" i="1"/>
  <c r="S58" i="1"/>
  <c r="M58" i="1"/>
  <c r="J58" i="1"/>
  <c r="S57" i="1"/>
  <c r="M57" i="1"/>
  <c r="J57" i="1"/>
  <c r="S56" i="1"/>
  <c r="M56" i="1"/>
  <c r="J56" i="1"/>
  <c r="S55" i="1"/>
  <c r="M55" i="1"/>
  <c r="J55" i="1"/>
  <c r="S54" i="1"/>
  <c r="M54" i="1"/>
  <c r="J54" i="1"/>
  <c r="S53" i="1"/>
  <c r="M53" i="1"/>
  <c r="J53" i="1"/>
  <c r="S52" i="1"/>
  <c r="M52" i="1"/>
  <c r="J52" i="1"/>
  <c r="S51" i="1"/>
  <c r="M51" i="1"/>
  <c r="J51" i="1"/>
  <c r="S50" i="1"/>
  <c r="M50" i="1"/>
  <c r="J50" i="1"/>
  <c r="S49" i="1"/>
  <c r="M49" i="1"/>
  <c r="J49" i="1"/>
  <c r="S48" i="1"/>
  <c r="M48" i="1"/>
  <c r="J48" i="1"/>
  <c r="S47" i="1"/>
  <c r="M47" i="1"/>
  <c r="J47" i="1"/>
  <c r="S46" i="1"/>
  <c r="M46" i="1"/>
  <c r="J46" i="1"/>
  <c r="S45" i="1"/>
  <c r="M45" i="1"/>
  <c r="J45" i="1"/>
  <c r="S44" i="1"/>
  <c r="M44" i="1"/>
  <c r="J44" i="1"/>
  <c r="S43" i="1"/>
  <c r="M43" i="1"/>
  <c r="J43" i="1"/>
  <c r="S42" i="1"/>
  <c r="M42" i="1"/>
  <c r="J42" i="1"/>
  <c r="S41" i="1"/>
  <c r="M41" i="1"/>
  <c r="J41" i="1"/>
  <c r="S40" i="1"/>
  <c r="M40" i="1"/>
  <c r="J40" i="1"/>
  <c r="S39" i="1"/>
  <c r="M39" i="1"/>
  <c r="J39" i="1"/>
  <c r="S38" i="1"/>
  <c r="M38" i="1"/>
  <c r="J38" i="1"/>
  <c r="S37" i="1"/>
  <c r="M37" i="1"/>
  <c r="J37" i="1"/>
  <c r="S36" i="1"/>
  <c r="M36" i="1"/>
  <c r="J36" i="1"/>
  <c r="S35" i="1"/>
  <c r="M35" i="1"/>
  <c r="J35" i="1"/>
  <c r="S34" i="1"/>
  <c r="M34" i="1"/>
  <c r="J34" i="1"/>
  <c r="S33" i="1"/>
  <c r="M33" i="1"/>
  <c r="J33" i="1"/>
  <c r="S32" i="1"/>
  <c r="M32" i="1"/>
  <c r="J32" i="1"/>
  <c r="S31" i="1"/>
  <c r="M31" i="1"/>
  <c r="J31" i="1"/>
  <c r="S30" i="1"/>
  <c r="M30" i="1"/>
  <c r="J30" i="1"/>
  <c r="S29" i="1"/>
  <c r="M29" i="1"/>
  <c r="J29" i="1"/>
  <c r="S28" i="1"/>
  <c r="M28" i="1"/>
  <c r="J28" i="1"/>
  <c r="S27" i="1"/>
  <c r="M27" i="1"/>
  <c r="J27" i="1"/>
  <c r="S26" i="1"/>
  <c r="M26" i="1"/>
  <c r="J26" i="1"/>
  <c r="S25" i="1"/>
  <c r="M25" i="1"/>
  <c r="J25" i="1"/>
  <c r="S24" i="1"/>
  <c r="M24" i="1"/>
  <c r="J24" i="1"/>
  <c r="S23" i="1"/>
  <c r="M23" i="1"/>
  <c r="J23" i="1"/>
  <c r="S22" i="1"/>
  <c r="M22" i="1"/>
  <c r="J22" i="1"/>
  <c r="S21" i="1"/>
  <c r="M21" i="1"/>
  <c r="J21" i="1"/>
  <c r="S20" i="1"/>
  <c r="M20" i="1"/>
  <c r="J20" i="1"/>
  <c r="S19" i="1"/>
  <c r="M19" i="1"/>
  <c r="J19" i="1"/>
  <c r="S18" i="1"/>
  <c r="M18" i="1"/>
  <c r="J18" i="1"/>
  <c r="S17" i="1"/>
  <c r="M17" i="1"/>
  <c r="J17" i="1"/>
  <c r="S16" i="1"/>
  <c r="M16" i="1"/>
  <c r="J16" i="1"/>
  <c r="S15" i="1"/>
  <c r="M15" i="1"/>
  <c r="J15" i="1"/>
  <c r="S14" i="1"/>
  <c r="M14" i="1"/>
  <c r="J14" i="1"/>
  <c r="S13" i="1"/>
  <c r="M13" i="1"/>
  <c r="J13" i="1"/>
  <c r="S12" i="1"/>
  <c r="M12" i="1"/>
  <c r="J12" i="1"/>
  <c r="S11" i="1"/>
  <c r="M11" i="1"/>
  <c r="J11" i="1"/>
  <c r="S10" i="1"/>
  <c r="M10" i="1"/>
  <c r="J10" i="1"/>
  <c r="S9" i="1"/>
  <c r="M9" i="1"/>
  <c r="J9" i="1"/>
  <c r="S8" i="1"/>
  <c r="M8" i="1"/>
  <c r="J8" i="1"/>
  <c r="S7" i="1"/>
  <c r="M7" i="1"/>
  <c r="J7" i="1"/>
  <c r="S6" i="1"/>
  <c r="M6" i="1"/>
  <c r="J6" i="1"/>
  <c r="S5" i="1"/>
  <c r="M5" i="1"/>
  <c r="M115" i="1" s="1"/>
  <c r="J5" i="1"/>
  <c r="J115" i="1" s="1"/>
  <c r="S115" i="1" s="1"/>
</calcChain>
</file>

<file path=xl/sharedStrings.xml><?xml version="1.0" encoding="utf-8"?>
<sst xmlns="http://schemas.openxmlformats.org/spreadsheetml/2006/main" count="530" uniqueCount="281">
  <si>
    <t>Presupuesto de Proyecto</t>
  </si>
  <si>
    <t>El usuario debe completar solo las celdas no sombreadas.</t>
  </si>
  <si>
    <t>Mano de Obra</t>
  </si>
  <si>
    <t>Materiales</t>
  </si>
  <si>
    <t>Costos Fijos</t>
  </si>
  <si>
    <t>Balance</t>
  </si>
  <si>
    <t>TAREA</t>
  </si>
  <si>
    <t>DESCRIPCION</t>
  </si>
  <si>
    <t>ESTADO</t>
  </si>
  <si>
    <t>FECHA INICIO PLANIFICADA</t>
  </si>
  <si>
    <t>FECHA INICIO REAL</t>
  </si>
  <si>
    <t>FECHA FIN</t>
  </si>
  <si>
    <t>HORAS</t>
  </si>
  <si>
    <t>VALOR HORA</t>
  </si>
  <si>
    <t>TOTAL MANO DE OBRA</t>
  </si>
  <si>
    <t>UNIDADES</t>
  </si>
  <si>
    <t>VALOR UNIDAD</t>
  </si>
  <si>
    <t>TOTAL MATERIALES</t>
  </si>
  <si>
    <t>VIAJES</t>
  </si>
  <si>
    <t>EQUIPOS</t>
  </si>
  <si>
    <t>MISCELANEOS</t>
  </si>
  <si>
    <t>PRESUPUESTO</t>
  </si>
  <si>
    <t>REAL</t>
  </si>
  <si>
    <t>Diferencia (Menos / Más del Presupuesto)</t>
  </si>
  <si>
    <t>PROJECT 1</t>
  </si>
  <si>
    <t>Identificar stakeholders</t>
  </si>
  <si>
    <t>Identificación de las partes interesadas del proyecto</t>
  </si>
  <si>
    <t>Completo</t>
  </si>
  <si>
    <t>14/03/2026</t>
  </si>
  <si>
    <t>Definir problema</t>
  </si>
  <si>
    <t>Definición del problema que el sistema resolverá</t>
  </si>
  <si>
    <t>21/03/2026</t>
  </si>
  <si>
    <t>Definir alcance</t>
  </si>
  <si>
    <t>Delimitación del alcance del sistema</t>
  </si>
  <si>
    <t>Definir objetivos generales</t>
  </si>
  <si>
    <t>Definición del objetivo general del proyecto</t>
  </si>
  <si>
    <t>Definir objetivos específicos</t>
  </si>
  <si>
    <t>Definición de objetivos específicos del sistema</t>
  </si>
  <si>
    <t>Definir restricciones</t>
  </si>
  <si>
    <t>Identificación de restricciones del proyecto</t>
  </si>
  <si>
    <t>14/02/2026</t>
  </si>
  <si>
    <t>Definir entregables</t>
  </si>
  <si>
    <t>Definición de los entregables del proyecto</t>
  </si>
  <si>
    <t>Documento de visión</t>
  </si>
  <si>
    <t>Elaboración del documento de visión del sistema</t>
  </si>
  <si>
    <t>Validación con equipo</t>
  </si>
  <si>
    <t>Validación del proyecto con el equipo</t>
  </si>
  <si>
    <t>Identificar actores</t>
  </si>
  <si>
    <t>Identificación de los actores del sistema</t>
  </si>
  <si>
    <t>Casos de uso principales</t>
  </si>
  <si>
    <t>Definición de los casos de uso principales</t>
  </si>
  <si>
    <t>21/02/2026</t>
  </si>
  <si>
    <t>Documentar casos de uso</t>
  </si>
  <si>
    <t>Documentación de los casos de uso</t>
  </si>
  <si>
    <t>Flujos principales</t>
  </si>
  <si>
    <t>Definición del flujo principal</t>
  </si>
  <si>
    <t>Flujos alternativos</t>
  </si>
  <si>
    <t>Definición de flujos alternativos</t>
  </si>
  <si>
    <t>Priorizacion</t>
  </si>
  <si>
    <t>Priorización de requerimientos</t>
  </si>
  <si>
    <t>Validacion requerimientos</t>
  </si>
  <si>
    <t>Validación de requerimientos</t>
  </si>
  <si>
    <t>28/02/2026</t>
  </si>
  <si>
    <t>Seguridad</t>
  </si>
  <si>
    <t>Definición de requisitos de seguridad</t>
  </si>
  <si>
    <t>Rendimiento</t>
  </si>
  <si>
    <t>Definición de requisitos de rendimiento</t>
  </si>
  <si>
    <t>Disponibilidad</t>
  </si>
  <si>
    <t>Definición de disponibilidad del sistema</t>
  </si>
  <si>
    <t>Usabilidad</t>
  </si>
  <si>
    <t>Definición de requisitos de usabilidad</t>
  </si>
  <si>
    <t>Escalabilidad</t>
  </si>
  <si>
    <t>Definición de escalabilidad del sistema</t>
  </si>
  <si>
    <t>No Iniciado</t>
  </si>
  <si>
    <t>28/03/2026</t>
  </si>
  <si>
    <t>Compatibilidad</t>
  </si>
  <si>
    <t>Definición de compatibilidad del sistema</t>
  </si>
  <si>
    <t>Estandares desarrollo</t>
  </si>
  <si>
    <t>Definición de estándares de desarrollo</t>
  </si>
  <si>
    <t>Identificar entidades</t>
  </si>
  <si>
    <t>Identificación de entidades del sistema</t>
  </si>
  <si>
    <t>Atributos entidades</t>
  </si>
  <si>
    <t>Definición de atributos de entidades</t>
  </si>
  <si>
    <t>Relaciones</t>
  </si>
  <si>
    <t>Definición de relaciones entre entidades</t>
  </si>
  <si>
    <t>18/04/2026</t>
  </si>
  <si>
    <t>Modelo conceptual</t>
  </si>
  <si>
    <t>Diseño del modelo conceptual de datos</t>
  </si>
  <si>
    <t>Modelo logico</t>
  </si>
  <si>
    <t>Diseño del modelo lógico de datos</t>
  </si>
  <si>
    <t>Normalizacion</t>
  </si>
  <si>
    <t>Proceso de normalización</t>
  </si>
  <si>
    <t>Modelo fisico</t>
  </si>
  <si>
    <t>Diseño del modelo físico de datos</t>
  </si>
  <si>
    <t>Claves primarias</t>
  </si>
  <si>
    <t>Definición de claves primarias</t>
  </si>
  <si>
    <t>Claves foraneas</t>
  </si>
  <si>
    <t>Definición de claves foráneas</t>
  </si>
  <si>
    <t>Seleccionar arquitectura</t>
  </si>
  <si>
    <t>Selección de la arquitectura del sistema</t>
  </si>
  <si>
    <t>Diseno MVC</t>
  </si>
  <si>
    <t>Diseño de arquitectura en capas MVC</t>
  </si>
  <si>
    <t>Estructura backend</t>
  </si>
  <si>
    <t>Definición de la estructura del backend</t>
  </si>
  <si>
    <t>Estructura frontend</t>
  </si>
  <si>
    <t>Definición de la estructura del frontend</t>
  </si>
  <si>
    <t>Patron datos</t>
  </si>
  <si>
    <t>Definición del patrón de acceso a datos</t>
  </si>
  <si>
    <t>API REST diseno</t>
  </si>
  <si>
    <t>Diseño de la API REST</t>
  </si>
  <si>
    <t>Diagrama componentes</t>
  </si>
  <si>
    <t>Elaboración del diagrama de componentes</t>
  </si>
  <si>
    <t>Diagrama despliegue</t>
  </si>
  <si>
    <t>Elaboración del diagrama de despliegue</t>
  </si>
  <si>
    <t>Instalar herramientas</t>
  </si>
  <si>
    <t>Instalación de herramientas de desarrollo</t>
  </si>
  <si>
    <t>25/04/2026</t>
  </si>
  <si>
    <t>16/05/2026</t>
  </si>
  <si>
    <t>Repositorio Git</t>
  </si>
  <si>
    <t>Configuración del repositorio Git</t>
  </si>
  <si>
    <t>Configurar .NET</t>
  </si>
  <si>
    <t>Configuración del entorno .NET</t>
  </si>
  <si>
    <t>Configurar SQL Server</t>
  </si>
  <si>
    <t>Configuración de SQL Server</t>
  </si>
  <si>
    <t>Base de datos inicial</t>
  </si>
  <si>
    <t>Creación de la base de datos inicial</t>
  </si>
  <si>
    <t>Conexion BD</t>
  </si>
  <si>
    <t>Configuración de conexión a BD</t>
  </si>
  <si>
    <t>30/05/2026</t>
  </si>
  <si>
    <t>Dependencias</t>
  </si>
  <si>
    <t>Configuración de dependencias</t>
  </si>
  <si>
    <t>Estructura proyecto</t>
  </si>
  <si>
    <t>Creación de estructura base del proyecto</t>
  </si>
  <si>
    <t>Crear proyecto API</t>
  </si>
  <si>
    <t>Creación del proyecto API</t>
  </si>
  <si>
    <t>Estructura carpetas</t>
  </si>
  <si>
    <t>Definición de estructura de carpetas</t>
  </si>
  <si>
    <t>Configuracion sistema</t>
  </si>
  <si>
    <t>Configuración general del sistema</t>
  </si>
  <si>
    <t>13/06/2026</t>
  </si>
  <si>
    <t>Modelos entidades</t>
  </si>
  <si>
    <t>Implementación de modelos de entidades</t>
  </si>
  <si>
    <t>Clases dominio</t>
  </si>
  <si>
    <t>Creación de clases de dominio</t>
  </si>
  <si>
    <t>Mapeo entidades</t>
  </si>
  <si>
    <t>Configuración del mapeo de entidades</t>
  </si>
  <si>
    <t>DTOs</t>
  </si>
  <si>
    <t>Implementación de DTOs</t>
  </si>
  <si>
    <t>Repositorio</t>
  </si>
  <si>
    <t>Implementación del patrón repositorio</t>
  </si>
  <si>
    <t>Interfaces</t>
  </si>
  <si>
    <t>Definición de interfaces de repositorio</t>
  </si>
  <si>
    <t>Servicios datos</t>
  </si>
  <si>
    <t>Implementación de servicios de datos</t>
  </si>
  <si>
    <t>CRUD incidentes</t>
  </si>
  <si>
    <t>Desarrollo CRUD de incidentes</t>
  </si>
  <si>
    <t>CRUD usuarios</t>
  </si>
  <si>
    <t>Desarrollo CRUD de usuarios</t>
  </si>
  <si>
    <t>Filtros fecha</t>
  </si>
  <si>
    <t>Implementación de filtros por fecha</t>
  </si>
  <si>
    <t>23/05/2026</t>
  </si>
  <si>
    <t>Filtros localidad</t>
  </si>
  <si>
    <t>Implementación de filtros por localidad</t>
  </si>
  <si>
    <t>Busqueda</t>
  </si>
  <si>
    <t>Implementación de búsqueda</t>
  </si>
  <si>
    <t>Validaciones</t>
  </si>
  <si>
    <t>Implementación de validaciones</t>
  </si>
  <si>
    <t>Manejo errores</t>
  </si>
  <si>
    <t>Implementación de manejo de errores</t>
  </si>
  <si>
    <t>Excepciones</t>
  </si>
  <si>
    <t>Implementación de excepciones</t>
  </si>
  <si>
    <t>Controladores</t>
  </si>
  <si>
    <t>Implementación de controladores</t>
  </si>
  <si>
    <t>Endpoints</t>
  </si>
  <si>
    <t>Implementación de endpoints</t>
  </si>
  <si>
    <t>Swagger</t>
  </si>
  <si>
    <t>Configuración de Swagger</t>
  </si>
  <si>
    <t>Autenticacion</t>
  </si>
  <si>
    <t>Implementación de autenticación</t>
  </si>
  <si>
    <t>Wireframes</t>
  </si>
  <si>
    <t>Diseño de wireframes</t>
  </si>
  <si>
    <t>Prototipo</t>
  </si>
  <si>
    <t>Diseño de prototipo</t>
  </si>
  <si>
    <t>Navegacion</t>
  </si>
  <si>
    <t>Definición de navegación</t>
  </si>
  <si>
    <t>Layout</t>
  </si>
  <si>
    <t>Diseño del layout</t>
  </si>
  <si>
    <t>Componentes UI</t>
  </si>
  <si>
    <t>Diseño de componentes UI</t>
  </si>
  <si>
    <t>Interfaz usuario</t>
  </si>
  <si>
    <t>Implementación de interfaz de usuario</t>
  </si>
  <si>
    <t>Formulario incidentes</t>
  </si>
  <si>
    <t>Implementación de formulario de incidentes</t>
  </si>
  <si>
    <t>Listado incidentes</t>
  </si>
  <si>
    <t>Implementación de listado de incidentes</t>
  </si>
  <si>
    <t>Detalle incidentes</t>
  </si>
  <si>
    <t>Implementación de detalle de incidentes</t>
  </si>
  <si>
    <t>Mapa</t>
  </si>
  <si>
    <t>Implementación de mapa</t>
  </si>
  <si>
    <t>Filtros</t>
  </si>
  <si>
    <t>Implementación de filtros</t>
  </si>
  <si>
    <t>20/06/2026</t>
  </si>
  <si>
    <t>Validación de formularios</t>
  </si>
  <si>
    <t>Integrar frontend API</t>
  </si>
  <si>
    <t>Integración del frontend con la API</t>
  </si>
  <si>
    <t>Consumo endpoints</t>
  </si>
  <si>
    <t>Consumo de endpoints</t>
  </si>
  <si>
    <t>Respuestas HTTP</t>
  </si>
  <si>
    <t>Manejo de respuestas HTTP</t>
  </si>
  <si>
    <t>Manejo errores FE</t>
  </si>
  <si>
    <t>Manejo de errores en frontend</t>
  </si>
  <si>
    <t>26/05/2026</t>
  </si>
  <si>
    <t>Validacion flujo</t>
  </si>
  <si>
    <t>Validación del flujo completo</t>
  </si>
  <si>
    <t>27/05/2026</t>
  </si>
  <si>
    <t>Casos de prueba</t>
  </si>
  <si>
    <t>Diseño de casos de prueba</t>
  </si>
  <si>
    <t>28/05/2026</t>
  </si>
  <si>
    <t>Pruebas unitarias</t>
  </si>
  <si>
    <t>Ejecución de pruebas unitarias</t>
  </si>
  <si>
    <t>29/05/2026</t>
  </si>
  <si>
    <t>Pruebas integracion</t>
  </si>
  <si>
    <t>Ejecución de pruebas de integración</t>
  </si>
  <si>
    <t>Pruebas API</t>
  </si>
  <si>
    <t>Ejecución de pruebas de API</t>
  </si>
  <si>
    <t>31/05/2026</t>
  </si>
  <si>
    <t>Validacion endpoints</t>
  </si>
  <si>
    <t>Validación de endpoints</t>
  </si>
  <si>
    <t>Registro incidentes</t>
  </si>
  <si>
    <t>Prueba de registro de incidentes</t>
  </si>
  <si>
    <t>Consulta incidentes</t>
  </si>
  <si>
    <t>Prueba de consulta de incidentes</t>
  </si>
  <si>
    <t>Prueba de filtros</t>
  </si>
  <si>
    <t>Prueba de funcionalidad de mapa</t>
  </si>
  <si>
    <t>UI</t>
  </si>
  <si>
    <t>Prueba de interfaz de usuario</t>
  </si>
  <si>
    <t>Cumplimiento req</t>
  </si>
  <si>
    <t>Cumplimiento objetivos</t>
  </si>
  <si>
    <t>Validación de objetivos</t>
  </si>
  <si>
    <t>Pruebas finales</t>
  </si>
  <si>
    <t>Ejecución de pruebas finales</t>
  </si>
  <si>
    <t>Feedback docente</t>
  </si>
  <si>
    <t>Recepción de feedback del docente</t>
  </si>
  <si>
    <t>Ajustes finales</t>
  </si>
  <si>
    <t>Implementación de ajustes finales</t>
  </si>
  <si>
    <t>Doc arquitectura</t>
  </si>
  <si>
    <t>Documentación de arquitectura</t>
  </si>
  <si>
    <t>Doc base datos</t>
  </si>
  <si>
    <t>Documentación de base de datos</t>
  </si>
  <si>
    <t>Doc API</t>
  </si>
  <si>
    <t>Documentación de API</t>
  </si>
  <si>
    <t>14/06/2026</t>
  </si>
  <si>
    <t>Manual tecnico</t>
  </si>
  <si>
    <t>Elaboración de manual técnico</t>
  </si>
  <si>
    <t>15/06/2026</t>
  </si>
  <si>
    <t>Manual usuario</t>
  </si>
  <si>
    <t>Elaboración de manual de usuario</t>
  </si>
  <si>
    <t>16/06/2026</t>
  </si>
  <si>
    <t>Lecciones aprendidas</t>
  </si>
  <si>
    <t>Documentación de lecciones aprendidas</t>
  </si>
  <si>
    <t>17/06/2026</t>
  </si>
  <si>
    <t>Presentacion</t>
  </si>
  <si>
    <t>Preparación de presentación</t>
  </si>
  <si>
    <t>18/06/2026</t>
  </si>
  <si>
    <t>Entrega final</t>
  </si>
  <si>
    <t>Entrega final del proyecto</t>
  </si>
  <si>
    <t>19/06/2026</t>
  </si>
  <si>
    <t>SUBTOTAL</t>
  </si>
  <si>
    <t>listas desplegables</t>
  </si>
  <si>
    <t>SI / NO</t>
  </si>
  <si>
    <t>PRIORIDAD</t>
  </si>
  <si>
    <t>Si</t>
  </si>
  <si>
    <t>Baja</t>
  </si>
  <si>
    <t>No</t>
  </si>
  <si>
    <t>Media</t>
  </si>
  <si>
    <t>En Progreso</t>
  </si>
  <si>
    <t>Alta</t>
  </si>
  <si>
    <t>Requiere Revisión</t>
  </si>
  <si>
    <t>Aprobado</t>
  </si>
  <si>
    <t>Atrasado</t>
  </si>
  <si>
    <t>En Espera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</si>
</sst>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5" formatCode="&quot;$&quot;#,##0_);\(&quot;$&quot;#,##0\)"/>
    <numFmt numFmtId="7" formatCode="&quot;$&quot;#,##0.00_);\(&quot;$&quot;#,##0.00\)"/>
    <numFmt numFmtId="44" formatCode="_(&quot;$&quot;* #,##0.00_);_(&quot;$&quot;* \(#,##0.00\);_(&quot;$&quot;* &quot;-&quot;??_);_(@_)"/>
    <numFmt numFmtId="164" formatCode="mm/dd/yy;@"/>
    <numFmt numFmtId="165" formatCode="0.0"/>
    <numFmt numFmtId="166" formatCode="_(&quot;$&quot;* #,##0_);_(&quot;$&quot;* \(#,##0\);_(&quot;$&quot;* &quot;-&quot;??_);_(@_)"/>
  </numFmts>
  <fonts count="19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u/>
      <sz val="12"/>
      <color theme="11"/>
      <name val="Calibri"/>
      <family val="2"/>
      <scheme val="minor"/>
    </font>
    <font>
      <sz val="10"/>
      <color theme="0"/>
      <name val="Century Gothic"/>
      <family val="1"/>
    </font>
    <font>
      <sz val="10"/>
      <name val="Century Gothic"/>
      <family val="1"/>
    </font>
    <font>
      <sz val="10"/>
      <color theme="1"/>
      <name val="Century Gothic"/>
      <family val="1"/>
    </font>
    <font>
      <b/>
      <sz val="20"/>
      <color theme="0" tint="-0.499984740745262"/>
      <name val="Century Gothic"/>
      <family val="1"/>
    </font>
    <font>
      <sz val="11"/>
      <color theme="1"/>
      <name val="Calibri"/>
      <family val="2"/>
      <scheme val="minor"/>
    </font>
    <font>
      <b/>
      <sz val="22"/>
      <color theme="1" tint="0.34998626667073579"/>
      <name val="Century Gothic"/>
      <family val="1"/>
    </font>
    <font>
      <sz val="10"/>
      <color rgb="FF000000"/>
      <name val="Century Gothic"/>
      <family val="1"/>
    </font>
    <font>
      <b/>
      <sz val="10"/>
      <color theme="0"/>
      <name val="Century Gothic"/>
      <family val="2"/>
    </font>
    <font>
      <sz val="10"/>
      <name val="Century Gothic"/>
      <family val="2"/>
    </font>
    <font>
      <sz val="11"/>
      <color indexed="8"/>
      <name val="Century Gothic"/>
      <family val="1"/>
    </font>
    <font>
      <b/>
      <sz val="10"/>
      <color theme="1"/>
      <name val="Century Gothic"/>
      <family val="1"/>
    </font>
    <font>
      <sz val="22"/>
      <color theme="1" tint="0.34998626667073579"/>
      <name val="Century Gothic"/>
      <family val="1"/>
    </font>
    <font>
      <b/>
      <sz val="24"/>
      <color theme="1" tint="0.34998626667073579"/>
      <name val="Century Gothic"/>
      <family val="1"/>
    </font>
    <font>
      <sz val="12"/>
      <color theme="1" tint="0.34998626667073579"/>
      <name val="Century Gothic"/>
      <family val="1"/>
    </font>
    <font>
      <b/>
      <u/>
      <sz val="22"/>
      <color theme="1" tint="0.34998626667073579"/>
      <name val="Century Gothic"/>
      <family val="1"/>
    </font>
    <font>
      <sz val="9"/>
      <name val="Century Gothic"/>
      <family val="1"/>
    </font>
  </fonts>
  <fills count="19">
    <fill>
      <patternFill patternType="none"/>
    </fill>
    <fill>
      <patternFill patternType="gray125"/>
    </fill>
    <fill>
      <patternFill patternType="solid">
        <fgColor theme="3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1" tint="0.34998626667073579"/>
        <bgColor indexed="64"/>
      </patternFill>
    </fill>
    <fill>
      <patternFill patternType="solid">
        <fgColor rgb="FF5EE9E7"/>
        <bgColor indexed="64"/>
      </patternFill>
    </fill>
    <fill>
      <patternFill patternType="solid">
        <fgColor rgb="FFABEFEA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EAF0"/>
        <bgColor indexed="64"/>
      </patternFill>
    </fill>
    <fill>
      <patternFill patternType="solid">
        <fgColor rgb="FFB6FBF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50"/>
        <bgColor indexed="64"/>
      </patternFill>
    </fill>
  </fills>
  <borders count="19">
    <border>
      <left/>
      <right/>
      <top/>
      <bottom/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  <border>
      <left style="thin">
        <color theme="0" tint="-0.249977111117893"/>
      </left>
      <right style="thin">
        <color theme="0" tint="-0.249977111117893"/>
      </right>
      <top/>
      <bottom style="thin">
        <color theme="0" tint="-0.249977111117893"/>
      </bottom>
      <diagonal/>
    </border>
    <border>
      <left style="thin">
        <color theme="0" tint="-0.249977111117893"/>
      </left>
      <right style="thin">
        <color theme="0" tint="-0.249977111117893"/>
      </right>
      <top style="thick">
        <color theme="0" tint="-0.249977111117893"/>
      </top>
      <bottom style="thin">
        <color theme="0" tint="-0.249977111117893"/>
      </bottom>
      <diagonal/>
    </border>
    <border>
      <left style="thin">
        <color theme="0" tint="-0.249977111117893"/>
      </left>
      <right style="thin">
        <color theme="0" tint="-0.249977111117893"/>
      </right>
      <top style="medium">
        <color theme="0" tint="-0.34998626667073579"/>
      </top>
      <bottom style="thin">
        <color theme="0" tint="-0.249977111117893"/>
      </bottom>
      <diagonal/>
    </border>
    <border>
      <left/>
      <right/>
      <top style="medium">
        <color theme="0" tint="-0.34998626667073579"/>
      </top>
      <bottom style="thin">
        <color theme="0" tint="-0.249977111117893"/>
      </bottom>
      <diagonal/>
    </border>
    <border>
      <left/>
      <right style="thin">
        <color theme="0" tint="-0.249977111117893"/>
      </right>
      <top style="medium">
        <color theme="0" tint="-0.34998626667073579"/>
      </top>
      <bottom style="thin">
        <color theme="0" tint="-0.249977111117893"/>
      </bottom>
      <diagonal/>
    </border>
    <border>
      <left/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  <border>
      <left/>
      <right style="double">
        <color theme="0" tint="-0.34998626667073579"/>
      </right>
      <top style="medium">
        <color theme="0" tint="-0.34998626667073579"/>
      </top>
      <bottom style="thin">
        <color theme="0" tint="-0.249977111117893"/>
      </bottom>
      <diagonal/>
    </border>
    <border>
      <left style="thin">
        <color theme="0" tint="-0.249977111117893"/>
      </left>
      <right style="double">
        <color theme="0" tint="-0.34998626667073579"/>
      </right>
      <top style="thin">
        <color theme="0" tint="-0.249977111117893"/>
      </top>
      <bottom style="thin">
        <color theme="0" tint="-0.249977111117893"/>
      </bottom>
      <diagonal/>
    </border>
    <border>
      <left/>
      <right style="medium">
        <color theme="0" tint="-0.34998626667073579"/>
      </right>
      <top/>
      <bottom style="thin">
        <color theme="0" tint="-0.249977111117893"/>
      </bottom>
      <diagonal/>
    </border>
    <border>
      <left/>
      <right style="medium">
        <color theme="0" tint="-0.34998626667073579"/>
      </right>
      <top style="medium">
        <color theme="0" tint="-0.34998626667073579"/>
      </top>
      <bottom style="thin">
        <color theme="0" tint="-0.249977111117893"/>
      </bottom>
      <diagonal/>
    </border>
    <border>
      <left/>
      <right style="medium">
        <color theme="0" tint="-0.34998626667073579"/>
      </right>
      <top style="thin">
        <color theme="0" tint="-0.249977111117893"/>
      </top>
      <bottom style="thin">
        <color theme="0" tint="-0.249977111117893"/>
      </bottom>
      <diagonal/>
    </border>
    <border>
      <left style="double">
        <color theme="0" tint="-0.34998626667073579"/>
      </left>
      <right style="dashed">
        <color theme="0" tint="-0.34998626667073579"/>
      </right>
      <top style="thin">
        <color theme="0" tint="-0.249977111117893"/>
      </top>
      <bottom style="thin">
        <color theme="0" tint="-0.249977111117893"/>
      </bottom>
      <diagonal/>
    </border>
    <border>
      <left/>
      <right style="dashed">
        <color theme="0" tint="-0.34998626667073579"/>
      </right>
      <top/>
      <bottom/>
      <diagonal/>
    </border>
    <border>
      <left style="thin">
        <color theme="0" tint="-0.249977111117893"/>
      </left>
      <right style="dashed">
        <color theme="0" tint="-0.34998626667073579"/>
      </right>
      <top/>
      <bottom style="thin">
        <color theme="0" tint="-0.249977111117893"/>
      </bottom>
      <diagonal/>
    </border>
    <border>
      <left style="thin">
        <color theme="0" tint="-0.249977111117893"/>
      </left>
      <right style="dashed">
        <color theme="0" tint="-0.34998626667073579"/>
      </right>
      <top style="thin">
        <color theme="0" tint="-0.249977111117893"/>
      </top>
      <bottom style="thin">
        <color theme="0" tint="-0.249977111117893"/>
      </bottom>
      <diagonal/>
    </border>
    <border>
      <left style="thin">
        <color theme="0" tint="-0.249977111117893"/>
      </left>
      <right style="double">
        <color theme="0" tint="-0.34998626667073579"/>
      </right>
      <top style="medium">
        <color theme="0" tint="-0.34998626667073579"/>
      </top>
      <bottom style="thin">
        <color theme="0" tint="-0.249977111117893"/>
      </bottom>
      <diagonal/>
    </border>
    <border>
      <left style="double">
        <color theme="0" tint="-0.34998626667073579"/>
      </left>
      <right style="medium">
        <color theme="0" tint="-0.34998626667073579"/>
      </right>
      <top style="medium">
        <color theme="0" tint="-0.34998626667073579"/>
      </top>
      <bottom style="thin">
        <color theme="0" tint="-0.249977111117893"/>
      </bottom>
      <diagonal/>
    </border>
  </borders>
  <cellStyleXfs count="4">
    <xf numFmtId="0" fontId="0" fillId="0" borderId="0"/>
    <xf numFmtId="44" fontId="1" fillId="0" borderId="0"/>
    <xf numFmtId="0" fontId="2" fillId="0" borderId="0"/>
    <xf numFmtId="0" fontId="7" fillId="0" borderId="0"/>
  </cellStyleXfs>
  <cellXfs count="77">
    <xf numFmtId="0" fontId="0" fillId="0" borderId="0" xfId="0"/>
    <xf numFmtId="0" fontId="5" fillId="3" borderId="0" xfId="0" applyFont="1" applyFill="1" applyAlignment="1">
      <alignment wrapText="1"/>
    </xf>
    <xf numFmtId="0" fontId="5" fillId="0" borderId="0" xfId="0" applyFont="1" applyAlignment="1">
      <alignment wrapText="1"/>
    </xf>
    <xf numFmtId="0" fontId="6" fillId="3" borderId="0" xfId="0" applyFont="1" applyFill="1" applyAlignment="1">
      <alignment vertical="center"/>
    </xf>
    <xf numFmtId="0" fontId="5" fillId="3" borderId="0" xfId="0" applyFont="1" applyFill="1" applyAlignment="1">
      <alignment horizontal="left" vertical="center" wrapText="1" indent="1"/>
    </xf>
    <xf numFmtId="0" fontId="5" fillId="0" borderId="0" xfId="0" applyFont="1" applyAlignment="1">
      <alignment horizontal="left" vertical="center" wrapText="1" indent="1"/>
    </xf>
    <xf numFmtId="0" fontId="5" fillId="3" borderId="1" xfId="0" applyFont="1" applyFill="1" applyBorder="1" applyAlignment="1">
      <alignment horizontal="left" vertical="center" wrapText="1" indent="1"/>
    </xf>
    <xf numFmtId="0" fontId="5" fillId="0" borderId="1" xfId="0" applyFont="1" applyBorder="1" applyAlignment="1">
      <alignment horizontal="left" vertical="center" wrapText="1" indent="1"/>
    </xf>
    <xf numFmtId="0" fontId="5" fillId="8" borderId="1" xfId="0" applyFont="1" applyFill="1" applyBorder="1" applyAlignment="1">
      <alignment horizontal="left" vertical="center" wrapText="1" indent="1"/>
    </xf>
    <xf numFmtId="0" fontId="10" fillId="2" borderId="2" xfId="0" applyFont="1" applyFill="1" applyBorder="1" applyAlignment="1">
      <alignment horizontal="center" vertical="center" wrapText="1"/>
    </xf>
    <xf numFmtId="0" fontId="10" fillId="2" borderId="1" xfId="0" applyFont="1" applyFill="1" applyBorder="1" applyAlignment="1">
      <alignment horizontal="center" vertical="center" wrapText="1"/>
    </xf>
    <xf numFmtId="0" fontId="10" fillId="5" borderId="1" xfId="0" applyFont="1" applyFill="1" applyBorder="1" applyAlignment="1">
      <alignment horizontal="left" vertical="center" wrapText="1" indent="1"/>
    </xf>
    <xf numFmtId="164" fontId="10" fillId="5" borderId="1" xfId="0" applyNumberFormat="1" applyFont="1" applyFill="1" applyBorder="1" applyAlignment="1">
      <alignment horizontal="left" vertical="center" wrapText="1" indent="1"/>
    </xf>
    <xf numFmtId="0" fontId="8" fillId="3" borderId="0" xfId="0" applyFont="1" applyFill="1" applyAlignment="1">
      <alignment vertical="center"/>
    </xf>
    <xf numFmtId="0" fontId="12" fillId="0" borderId="0" xfId="0" applyFont="1"/>
    <xf numFmtId="0" fontId="5" fillId="7" borderId="1" xfId="0" applyFont="1" applyFill="1" applyBorder="1" applyAlignment="1">
      <alignment horizontal="left" vertical="center" wrapText="1" indent="1"/>
    </xf>
    <xf numFmtId="0" fontId="5" fillId="10" borderId="1" xfId="0" applyFont="1" applyFill="1" applyBorder="1" applyAlignment="1">
      <alignment horizontal="left" vertical="center" wrapText="1" indent="1"/>
    </xf>
    <xf numFmtId="0" fontId="5" fillId="11" borderId="1" xfId="0" applyFont="1" applyFill="1" applyBorder="1" applyAlignment="1">
      <alignment horizontal="left" vertical="center" wrapText="1" indent="1"/>
    </xf>
    <xf numFmtId="0" fontId="9" fillId="12" borderId="1" xfId="0" applyFont="1" applyFill="1" applyBorder="1" applyAlignment="1">
      <alignment horizontal="left" vertical="center" indent="1"/>
    </xf>
    <xf numFmtId="0" fontId="9" fillId="13" borderId="1" xfId="0" applyFont="1" applyFill="1" applyBorder="1" applyAlignment="1">
      <alignment horizontal="left" vertical="center" indent="1"/>
    </xf>
    <xf numFmtId="0" fontId="9" fillId="7" borderId="1" xfId="0" applyFont="1" applyFill="1" applyBorder="1" applyAlignment="1">
      <alignment horizontal="center" vertical="center"/>
    </xf>
    <xf numFmtId="0" fontId="9" fillId="14" borderId="1" xfId="0" applyFont="1" applyFill="1" applyBorder="1" applyAlignment="1">
      <alignment horizontal="left" vertical="center" indent="1"/>
    </xf>
    <xf numFmtId="0" fontId="9" fillId="15" borderId="1" xfId="0" applyFont="1" applyFill="1" applyBorder="1" applyAlignment="1">
      <alignment horizontal="center" vertical="center"/>
    </xf>
    <xf numFmtId="0" fontId="13" fillId="7" borderId="3" xfId="0" applyFont="1" applyFill="1" applyBorder="1" applyAlignment="1">
      <alignment horizontal="center" vertical="center" wrapText="1"/>
    </xf>
    <xf numFmtId="0" fontId="14" fillId="3" borderId="0" xfId="0" applyFont="1" applyFill="1" applyAlignment="1">
      <alignment vertical="center"/>
    </xf>
    <xf numFmtId="0" fontId="15" fillId="3" borderId="0" xfId="0" applyFont="1" applyFill="1" applyAlignment="1">
      <alignment vertical="center"/>
    </xf>
    <xf numFmtId="0" fontId="10" fillId="2" borderId="2" xfId="0" applyFont="1" applyFill="1" applyBorder="1" applyAlignment="1">
      <alignment horizontal="left" vertical="center" wrapText="1" indent="1"/>
    </xf>
    <xf numFmtId="0" fontId="5" fillId="4" borderId="1" xfId="0" applyFont="1" applyFill="1" applyBorder="1" applyAlignment="1">
      <alignment horizontal="left" vertical="center" wrapText="1" indent="1"/>
    </xf>
    <xf numFmtId="0" fontId="5" fillId="0" borderId="1" xfId="0" applyFont="1" applyBorder="1" applyAlignment="1" applyProtection="1">
      <alignment horizontal="left" vertical="center" wrapText="1" indent="1"/>
      <protection locked="0"/>
    </xf>
    <xf numFmtId="0" fontId="3" fillId="5" borderId="1" xfId="0" applyFont="1" applyFill="1" applyBorder="1" applyAlignment="1">
      <alignment horizontal="left" vertical="center" wrapText="1" indent="1"/>
    </xf>
    <xf numFmtId="7" fontId="10" fillId="5" borderId="1" xfId="1" applyNumberFormat="1" applyFont="1" applyFill="1" applyBorder="1" applyAlignment="1" applyProtection="1">
      <alignment vertical="center"/>
      <protection locked="0"/>
    </xf>
    <xf numFmtId="0" fontId="16" fillId="3" borderId="0" xfId="0" applyFont="1" applyFill="1" applyAlignment="1">
      <alignment vertical="center"/>
    </xf>
    <xf numFmtId="5" fontId="10" fillId="5" borderId="1" xfId="0" applyNumberFormat="1" applyFont="1" applyFill="1" applyBorder="1" applyAlignment="1" applyProtection="1">
      <alignment vertical="center"/>
      <protection locked="0"/>
    </xf>
    <xf numFmtId="164" fontId="5" fillId="0" borderId="1" xfId="0" applyNumberFormat="1" applyFont="1" applyBorder="1" applyAlignment="1" applyProtection="1">
      <alignment horizontal="left" vertical="center" wrapText="1" indent="1"/>
      <protection locked="0"/>
    </xf>
    <xf numFmtId="165" fontId="4" fillId="0" borderId="1" xfId="0" applyNumberFormat="1" applyFont="1" applyBorder="1" applyAlignment="1" applyProtection="1">
      <alignment horizontal="center" vertical="center"/>
      <protection locked="0"/>
    </xf>
    <xf numFmtId="7" fontId="4" fillId="0" borderId="1" xfId="1" applyNumberFormat="1" applyFont="1" applyBorder="1" applyAlignment="1" applyProtection="1">
      <alignment horizontal="right" vertical="center"/>
      <protection locked="0"/>
    </xf>
    <xf numFmtId="5" fontId="4" fillId="0" borderId="1" xfId="0" applyNumberFormat="1" applyFont="1" applyBorder="1" applyAlignment="1" applyProtection="1">
      <alignment horizontal="right" vertical="center"/>
      <protection locked="0"/>
    </xf>
    <xf numFmtId="0" fontId="10" fillId="2" borderId="9" xfId="0" applyFont="1" applyFill="1" applyBorder="1" applyAlignment="1">
      <alignment horizontal="center" vertical="center" wrapText="1"/>
    </xf>
    <xf numFmtId="5" fontId="10" fillId="5" borderId="9" xfId="1" applyNumberFormat="1" applyFont="1" applyFill="1" applyBorder="1" applyAlignment="1" applyProtection="1">
      <alignment vertical="center"/>
      <protection locked="0"/>
    </xf>
    <xf numFmtId="0" fontId="10" fillId="2" borderId="7" xfId="0" applyFont="1" applyFill="1" applyBorder="1" applyAlignment="1">
      <alignment horizontal="center" vertical="center" wrapText="1"/>
    </xf>
    <xf numFmtId="165" fontId="11" fillId="5" borderId="7" xfId="0" applyNumberFormat="1" applyFont="1" applyFill="1" applyBorder="1" applyAlignment="1" applyProtection="1">
      <alignment horizontal="left" vertical="center"/>
      <protection locked="0"/>
    </xf>
    <xf numFmtId="0" fontId="10" fillId="2" borderId="10" xfId="0" applyFont="1" applyFill="1" applyBorder="1" applyAlignment="1">
      <alignment horizontal="center" vertical="center" wrapText="1"/>
    </xf>
    <xf numFmtId="166" fontId="10" fillId="5" borderId="12" xfId="1" applyNumberFormat="1" applyFont="1" applyFill="1" applyBorder="1" applyAlignment="1" applyProtection="1">
      <alignment vertical="center"/>
      <protection locked="0"/>
    </xf>
    <xf numFmtId="0" fontId="10" fillId="2" borderId="12" xfId="0" applyFont="1" applyFill="1" applyBorder="1" applyAlignment="1">
      <alignment horizontal="center" vertical="center" wrapText="1"/>
    </xf>
    <xf numFmtId="0" fontId="10" fillId="2" borderId="13" xfId="0" applyFont="1" applyFill="1" applyBorder="1" applyAlignment="1">
      <alignment horizontal="center" vertical="center" wrapText="1"/>
    </xf>
    <xf numFmtId="166" fontId="10" fillId="5" borderId="13" xfId="1" applyNumberFormat="1" applyFont="1" applyFill="1" applyBorder="1" applyAlignment="1">
      <alignment vertical="center"/>
    </xf>
    <xf numFmtId="0" fontId="16" fillId="3" borderId="14" xfId="0" applyFont="1" applyFill="1" applyBorder="1" applyAlignment="1">
      <alignment vertical="center"/>
    </xf>
    <xf numFmtId="0" fontId="10" fillId="2" borderId="15" xfId="0" applyFont="1" applyFill="1" applyBorder="1" applyAlignment="1">
      <alignment horizontal="center" vertical="center" wrapText="1"/>
    </xf>
    <xf numFmtId="164" fontId="10" fillId="5" borderId="16" xfId="0" applyNumberFormat="1" applyFont="1" applyFill="1" applyBorder="1" applyAlignment="1">
      <alignment horizontal="left" vertical="center" wrapText="1" indent="1"/>
    </xf>
    <xf numFmtId="164" fontId="5" fillId="4" borderId="1" xfId="0" applyNumberFormat="1" applyFont="1" applyFill="1" applyBorder="1" applyAlignment="1">
      <alignment horizontal="left" vertical="center" wrapText="1" indent="1"/>
    </xf>
    <xf numFmtId="164" fontId="5" fillId="4" borderId="16" xfId="0" applyNumberFormat="1" applyFont="1" applyFill="1" applyBorder="1" applyAlignment="1">
      <alignment horizontal="left" vertical="center" wrapText="1" indent="1"/>
    </xf>
    <xf numFmtId="0" fontId="5" fillId="4" borderId="7" xfId="0" applyFont="1" applyFill="1" applyBorder="1" applyAlignment="1">
      <alignment horizontal="left" vertical="center"/>
    </xf>
    <xf numFmtId="0" fontId="5" fillId="4" borderId="1" xfId="0" applyFont="1" applyFill="1" applyBorder="1" applyAlignment="1">
      <alignment horizontal="left" vertical="center"/>
    </xf>
    <xf numFmtId="0" fontId="5" fillId="4" borderId="9" xfId="0" applyFont="1" applyFill="1" applyBorder="1" applyAlignment="1">
      <alignment horizontal="center" vertical="center"/>
    </xf>
    <xf numFmtId="0" fontId="5" fillId="4" borderId="13" xfId="0" applyFont="1" applyFill="1" applyBorder="1" applyAlignment="1">
      <alignment horizontal="center" vertical="center"/>
    </xf>
    <xf numFmtId="0" fontId="5" fillId="4" borderId="12" xfId="0" applyFont="1" applyFill="1" applyBorder="1" applyAlignment="1">
      <alignment horizontal="center" vertical="center"/>
    </xf>
    <xf numFmtId="164" fontId="5" fillId="0" borderId="16" xfId="0" applyNumberFormat="1" applyFont="1" applyBorder="1" applyAlignment="1" applyProtection="1">
      <alignment horizontal="left" vertical="center" wrapText="1" indent="1"/>
      <protection locked="0"/>
    </xf>
    <xf numFmtId="165" fontId="4" fillId="0" borderId="7" xfId="0" applyNumberFormat="1" applyFont="1" applyBorder="1" applyAlignment="1" applyProtection="1">
      <alignment horizontal="center" vertical="center"/>
      <protection locked="0"/>
    </xf>
    <xf numFmtId="5" fontId="4" fillId="4" borderId="1" xfId="1" applyNumberFormat="1" applyFont="1" applyFill="1" applyBorder="1" applyAlignment="1" applyProtection="1">
      <alignment horizontal="right" vertical="center"/>
      <protection locked="0"/>
    </xf>
    <xf numFmtId="5" fontId="4" fillId="0" borderId="9" xfId="1" applyNumberFormat="1" applyFont="1" applyBorder="1" applyAlignment="1" applyProtection="1">
      <alignment vertical="center"/>
      <protection locked="0"/>
    </xf>
    <xf numFmtId="166" fontId="5" fillId="0" borderId="13" xfId="1" applyNumberFormat="1" applyFont="1" applyBorder="1" applyAlignment="1">
      <alignment vertical="center"/>
    </xf>
    <xf numFmtId="166" fontId="4" fillId="6" borderId="12" xfId="1" applyNumberFormat="1" applyFont="1" applyFill="1" applyBorder="1" applyAlignment="1" applyProtection="1">
      <alignment horizontal="left" vertical="center"/>
      <protection locked="0"/>
    </xf>
    <xf numFmtId="166" fontId="5" fillId="7" borderId="12" xfId="1" applyNumberFormat="1" applyFont="1" applyFill="1" applyBorder="1" applyAlignment="1">
      <alignment horizontal="left" vertical="center"/>
    </xf>
    <xf numFmtId="0" fontId="5" fillId="16" borderId="1" xfId="0" applyFont="1" applyFill="1" applyBorder="1" applyAlignment="1">
      <alignment horizontal="left" vertical="center" wrapText="1" indent="1"/>
    </xf>
    <xf numFmtId="0" fontId="9" fillId="17" borderId="1" xfId="0" applyFont="1" applyFill="1" applyBorder="1" applyAlignment="1">
      <alignment horizontal="left" vertical="center" wrapText="1" indent="1" readingOrder="1"/>
    </xf>
    <xf numFmtId="0" fontId="9" fillId="18" borderId="1" xfId="0" applyFont="1" applyFill="1" applyBorder="1" applyAlignment="1">
      <alignment horizontal="left" vertical="center" wrapText="1" indent="1" readingOrder="1"/>
    </xf>
    <xf numFmtId="0" fontId="17" fillId="3" borderId="0" xfId="0" applyFont="1" applyFill="1" applyAlignment="1">
      <alignment vertical="center"/>
    </xf>
    <xf numFmtId="7" fontId="18" fillId="0" borderId="1" xfId="1" applyNumberFormat="1" applyFont="1" applyBorder="1" applyAlignment="1" applyProtection="1">
      <alignment horizontal="right" vertical="center"/>
      <protection locked="0"/>
    </xf>
    <xf numFmtId="0" fontId="10" fillId="5" borderId="1" xfId="0" applyFont="1" applyFill="1" applyBorder="1" applyAlignment="1">
      <alignment horizontal="left" vertical="center" indent="1"/>
    </xf>
    <xf numFmtId="0" fontId="10" fillId="9" borderId="6" xfId="0" applyFont="1" applyFill="1" applyBorder="1" applyAlignment="1">
      <alignment horizontal="center" vertical="center" wrapText="1"/>
    </xf>
    <xf numFmtId="0" fontId="0" fillId="0" borderId="5" xfId="0" applyBorder="1"/>
    <xf numFmtId="0" fontId="0" fillId="0" borderId="6" xfId="0" applyBorder="1"/>
    <xf numFmtId="0" fontId="10" fillId="9" borderId="4" xfId="0" applyFont="1" applyFill="1" applyBorder="1" applyAlignment="1">
      <alignment horizontal="center" vertical="center" wrapText="1"/>
    </xf>
    <xf numFmtId="0" fontId="10" fillId="9" borderId="18" xfId="0" applyFont="1" applyFill="1" applyBorder="1" applyAlignment="1">
      <alignment horizontal="center" vertical="center" wrapText="1"/>
    </xf>
    <xf numFmtId="0" fontId="0" fillId="0" borderId="11" xfId="0" applyBorder="1"/>
    <xf numFmtId="0" fontId="10" fillId="9" borderId="17" xfId="0" applyFont="1" applyFill="1" applyBorder="1" applyAlignment="1">
      <alignment horizontal="center" vertical="center" wrapText="1"/>
    </xf>
    <xf numFmtId="0" fontId="0" fillId="0" borderId="8" xfId="0" applyBorder="1"/>
  </cellXfs>
  <cellStyles count="4">
    <cellStyle name="Hipervínculo visitado" xfId="2" builtinId="9" hidden="1"/>
    <cellStyle name="Moneda" xfId="1" builtinId="4"/>
    <cellStyle name="Normal" xfId="0" builtinId="0"/>
    <cellStyle name="Normal 2" xfId="3" xr:uid="{00000000-0005-0000-0000-000003000000}"/>
  </cellStyles>
  <dxfs count="258">
    <dxf>
      <font>
        <color theme="1"/>
      </font>
      <fill>
        <patternFill>
          <bgColor rgb="FF92D050"/>
        </patternFill>
      </fill>
    </dxf>
    <dxf>
      <font>
        <color theme="1"/>
      </font>
      <fill>
        <patternFill>
          <bgColor rgb="FF03C25B"/>
        </patternFill>
      </fill>
    </dxf>
    <dxf>
      <fill>
        <patternFill>
          <bgColor theme="7" tint="0.39994506668294322"/>
        </patternFill>
      </fill>
    </dxf>
    <dxf>
      <fill>
        <patternFill>
          <bgColor theme="0" tint="-0.14993743705557422"/>
        </patternFill>
      </fill>
    </dxf>
    <dxf>
      <fill>
        <patternFill>
          <bgColor theme="7" tint="0.79998168889431442"/>
        </patternFill>
      </fill>
    </dxf>
    <dxf>
      <fill>
        <patternFill>
          <bgColor rgb="FFABEFEA"/>
        </patternFill>
      </fill>
    </dxf>
    <dxf>
      <fill>
        <patternFill>
          <bgColor rgb="FF5EE9E7"/>
        </patternFill>
      </fill>
    </dxf>
    <dxf>
      <font>
        <color theme="1"/>
      </font>
      <fill>
        <patternFill>
          <bgColor rgb="FF92D050"/>
        </patternFill>
      </fill>
    </dxf>
    <dxf>
      <font>
        <color theme="1"/>
      </font>
      <fill>
        <patternFill>
          <bgColor rgb="FF03C25B"/>
        </patternFill>
      </fill>
    </dxf>
    <dxf>
      <fill>
        <patternFill>
          <bgColor theme="7" tint="0.39994506668294322"/>
        </patternFill>
      </fill>
    </dxf>
    <dxf>
      <fill>
        <patternFill>
          <bgColor theme="0" tint="-0.14993743705557422"/>
        </patternFill>
      </fill>
    </dxf>
    <dxf>
      <fill>
        <patternFill>
          <bgColor theme="7" tint="0.79998168889431442"/>
        </patternFill>
      </fill>
    </dxf>
    <dxf>
      <fill>
        <patternFill>
          <bgColor rgb="FFABEFEA"/>
        </patternFill>
      </fill>
    </dxf>
    <dxf>
      <fill>
        <patternFill>
          <bgColor rgb="FF5EE9E7"/>
        </patternFill>
      </fill>
    </dxf>
    <dxf>
      <font>
        <color theme="1"/>
      </font>
      <fill>
        <patternFill>
          <bgColor rgb="FF92D050"/>
        </patternFill>
      </fill>
    </dxf>
    <dxf>
      <font>
        <color theme="1"/>
      </font>
      <fill>
        <patternFill>
          <bgColor rgb="FF03C25B"/>
        </patternFill>
      </fill>
    </dxf>
    <dxf>
      <fill>
        <patternFill>
          <bgColor theme="7" tint="0.39994506668294322"/>
        </patternFill>
      </fill>
    </dxf>
    <dxf>
      <fill>
        <patternFill>
          <bgColor theme="0" tint="-0.14993743705557422"/>
        </patternFill>
      </fill>
    </dxf>
    <dxf>
      <fill>
        <patternFill>
          <bgColor theme="7" tint="0.79998168889431442"/>
        </patternFill>
      </fill>
    </dxf>
    <dxf>
      <fill>
        <patternFill>
          <bgColor rgb="FFABEFEA"/>
        </patternFill>
      </fill>
    </dxf>
    <dxf>
      <fill>
        <patternFill>
          <bgColor rgb="FF5EE9E7"/>
        </patternFill>
      </fill>
    </dxf>
    <dxf>
      <font>
        <color theme="1"/>
      </font>
      <fill>
        <patternFill>
          <bgColor rgb="FF92D050"/>
        </patternFill>
      </fill>
    </dxf>
    <dxf>
      <font>
        <color theme="1"/>
      </font>
      <fill>
        <patternFill>
          <bgColor rgb="FF03C25B"/>
        </patternFill>
      </fill>
    </dxf>
    <dxf>
      <fill>
        <patternFill>
          <bgColor theme="7" tint="0.39994506668294322"/>
        </patternFill>
      </fill>
    </dxf>
    <dxf>
      <fill>
        <patternFill>
          <bgColor theme="0" tint="-0.14993743705557422"/>
        </patternFill>
      </fill>
    </dxf>
    <dxf>
      <fill>
        <patternFill>
          <bgColor theme="7" tint="0.79998168889431442"/>
        </patternFill>
      </fill>
    </dxf>
    <dxf>
      <fill>
        <patternFill>
          <bgColor rgb="FFABEFEA"/>
        </patternFill>
      </fill>
    </dxf>
    <dxf>
      <fill>
        <patternFill>
          <bgColor rgb="FF5EE9E7"/>
        </patternFill>
      </fill>
    </dxf>
    <dxf>
      <font>
        <color theme="1"/>
      </font>
      <fill>
        <patternFill>
          <bgColor rgb="FF92D050"/>
        </patternFill>
      </fill>
    </dxf>
    <dxf>
      <font>
        <color theme="1"/>
      </font>
      <fill>
        <patternFill>
          <bgColor rgb="FF03C25B"/>
        </patternFill>
      </fill>
    </dxf>
    <dxf>
      <fill>
        <patternFill>
          <bgColor theme="7" tint="0.39994506668294322"/>
        </patternFill>
      </fill>
    </dxf>
    <dxf>
      <fill>
        <patternFill>
          <bgColor theme="0" tint="-0.14993743705557422"/>
        </patternFill>
      </fill>
    </dxf>
    <dxf>
      <fill>
        <patternFill>
          <bgColor theme="7" tint="0.79998168889431442"/>
        </patternFill>
      </fill>
    </dxf>
    <dxf>
      <fill>
        <patternFill>
          <bgColor rgb="FFABEFEA"/>
        </patternFill>
      </fill>
    </dxf>
    <dxf>
      <fill>
        <patternFill>
          <bgColor rgb="FF5EE9E7"/>
        </patternFill>
      </fill>
    </dxf>
    <dxf>
      <font>
        <color theme="1"/>
      </font>
      <fill>
        <patternFill>
          <bgColor rgb="FF92D050"/>
        </patternFill>
      </fill>
    </dxf>
    <dxf>
      <font>
        <color theme="1"/>
      </font>
      <fill>
        <patternFill>
          <bgColor rgb="FF03C25B"/>
        </patternFill>
      </fill>
    </dxf>
    <dxf>
      <fill>
        <patternFill>
          <bgColor theme="7" tint="0.39994506668294322"/>
        </patternFill>
      </fill>
    </dxf>
    <dxf>
      <fill>
        <patternFill>
          <bgColor theme="0" tint="-0.14993743705557422"/>
        </patternFill>
      </fill>
    </dxf>
    <dxf>
      <fill>
        <patternFill>
          <bgColor theme="7" tint="0.79998168889431442"/>
        </patternFill>
      </fill>
    </dxf>
    <dxf>
      <fill>
        <patternFill>
          <bgColor rgb="FFABEFEA"/>
        </patternFill>
      </fill>
    </dxf>
    <dxf>
      <fill>
        <patternFill>
          <bgColor rgb="FF5EE9E7"/>
        </patternFill>
      </fill>
    </dxf>
    <dxf>
      <font>
        <color theme="1"/>
      </font>
      <fill>
        <patternFill>
          <bgColor rgb="FF92D050"/>
        </patternFill>
      </fill>
    </dxf>
    <dxf>
      <font>
        <color theme="1"/>
      </font>
      <fill>
        <patternFill>
          <bgColor rgb="FF03C25B"/>
        </patternFill>
      </fill>
    </dxf>
    <dxf>
      <fill>
        <patternFill>
          <bgColor theme="7" tint="0.39994506668294322"/>
        </patternFill>
      </fill>
    </dxf>
    <dxf>
      <fill>
        <patternFill>
          <bgColor theme="0" tint="-0.14993743705557422"/>
        </patternFill>
      </fill>
    </dxf>
    <dxf>
      <fill>
        <patternFill>
          <bgColor theme="7" tint="0.79998168889431442"/>
        </patternFill>
      </fill>
    </dxf>
    <dxf>
      <fill>
        <patternFill>
          <bgColor rgb="FFABEFEA"/>
        </patternFill>
      </fill>
    </dxf>
    <dxf>
      <fill>
        <patternFill>
          <bgColor rgb="FF5EE9E7"/>
        </patternFill>
      </fill>
    </dxf>
    <dxf>
      <font>
        <color theme="1"/>
      </font>
      <fill>
        <patternFill>
          <bgColor rgb="FF92D050"/>
        </patternFill>
      </fill>
    </dxf>
    <dxf>
      <font>
        <color theme="1"/>
      </font>
      <fill>
        <patternFill>
          <bgColor rgb="FF03C25B"/>
        </patternFill>
      </fill>
    </dxf>
    <dxf>
      <fill>
        <patternFill>
          <bgColor theme="7" tint="0.39994506668294322"/>
        </patternFill>
      </fill>
    </dxf>
    <dxf>
      <fill>
        <patternFill>
          <bgColor theme="0" tint="-0.14993743705557422"/>
        </patternFill>
      </fill>
    </dxf>
    <dxf>
      <fill>
        <patternFill>
          <bgColor theme="7" tint="0.79998168889431442"/>
        </patternFill>
      </fill>
    </dxf>
    <dxf>
      <fill>
        <patternFill>
          <bgColor rgb="FFABEFEA"/>
        </patternFill>
      </fill>
    </dxf>
    <dxf>
      <fill>
        <patternFill>
          <bgColor rgb="FF5EE9E7"/>
        </patternFill>
      </fill>
    </dxf>
    <dxf>
      <font>
        <color theme="1"/>
      </font>
      <fill>
        <patternFill>
          <bgColor rgb="FF92D050"/>
        </patternFill>
      </fill>
    </dxf>
    <dxf>
      <font>
        <color theme="1"/>
      </font>
      <fill>
        <patternFill>
          <bgColor rgb="FF03C25B"/>
        </patternFill>
      </fill>
    </dxf>
    <dxf>
      <fill>
        <patternFill>
          <bgColor theme="7" tint="0.39994506668294322"/>
        </patternFill>
      </fill>
    </dxf>
    <dxf>
      <fill>
        <patternFill>
          <bgColor theme="0" tint="-0.14993743705557422"/>
        </patternFill>
      </fill>
    </dxf>
    <dxf>
      <fill>
        <patternFill>
          <bgColor theme="7" tint="0.79998168889431442"/>
        </patternFill>
      </fill>
    </dxf>
    <dxf>
      <fill>
        <patternFill>
          <bgColor rgb="FFABEFEA"/>
        </patternFill>
      </fill>
    </dxf>
    <dxf>
      <fill>
        <patternFill>
          <bgColor rgb="FF5EE9E7"/>
        </patternFill>
      </fill>
    </dxf>
    <dxf>
      <font>
        <color theme="1"/>
      </font>
      <fill>
        <patternFill>
          <bgColor rgb="FF92D050"/>
        </patternFill>
      </fill>
    </dxf>
    <dxf>
      <font>
        <color theme="1"/>
      </font>
      <fill>
        <patternFill>
          <bgColor rgb="FF03C25B"/>
        </patternFill>
      </fill>
    </dxf>
    <dxf>
      <fill>
        <patternFill>
          <bgColor theme="7" tint="0.39994506668294322"/>
        </patternFill>
      </fill>
    </dxf>
    <dxf>
      <fill>
        <patternFill>
          <bgColor theme="0" tint="-0.14993743705557422"/>
        </patternFill>
      </fill>
    </dxf>
    <dxf>
      <fill>
        <patternFill>
          <bgColor theme="7" tint="0.79998168889431442"/>
        </patternFill>
      </fill>
    </dxf>
    <dxf>
      <fill>
        <patternFill>
          <bgColor rgb="FFABEFEA"/>
        </patternFill>
      </fill>
    </dxf>
    <dxf>
      <fill>
        <patternFill>
          <bgColor rgb="FF5EE9E7"/>
        </patternFill>
      </fill>
    </dxf>
    <dxf>
      <font>
        <color theme="1"/>
      </font>
      <fill>
        <patternFill>
          <bgColor rgb="FF92D050"/>
        </patternFill>
      </fill>
    </dxf>
    <dxf>
      <font>
        <color theme="1"/>
      </font>
      <fill>
        <patternFill>
          <bgColor rgb="FF03C25B"/>
        </patternFill>
      </fill>
    </dxf>
    <dxf>
      <fill>
        <patternFill>
          <bgColor theme="7" tint="0.39994506668294322"/>
        </patternFill>
      </fill>
    </dxf>
    <dxf>
      <fill>
        <patternFill>
          <bgColor theme="0" tint="-0.14993743705557422"/>
        </patternFill>
      </fill>
    </dxf>
    <dxf>
      <fill>
        <patternFill>
          <bgColor theme="7" tint="0.79998168889431442"/>
        </patternFill>
      </fill>
    </dxf>
    <dxf>
      <fill>
        <patternFill>
          <bgColor rgb="FFABEFEA"/>
        </patternFill>
      </fill>
    </dxf>
    <dxf>
      <fill>
        <patternFill>
          <bgColor rgb="FF5EE9E7"/>
        </patternFill>
      </fill>
    </dxf>
    <dxf>
      <font>
        <color theme="1"/>
      </font>
      <fill>
        <patternFill>
          <bgColor rgb="FF92D050"/>
        </patternFill>
      </fill>
    </dxf>
    <dxf>
      <font>
        <color theme="1"/>
      </font>
      <fill>
        <patternFill>
          <bgColor rgb="FF03C25B"/>
        </patternFill>
      </fill>
    </dxf>
    <dxf>
      <fill>
        <patternFill>
          <bgColor theme="7" tint="0.39994506668294322"/>
        </patternFill>
      </fill>
    </dxf>
    <dxf>
      <fill>
        <patternFill>
          <bgColor theme="0" tint="-0.14993743705557422"/>
        </patternFill>
      </fill>
    </dxf>
    <dxf>
      <fill>
        <patternFill>
          <bgColor theme="7" tint="0.79998168889431442"/>
        </patternFill>
      </fill>
    </dxf>
    <dxf>
      <fill>
        <patternFill>
          <bgColor rgb="FFABEFEA"/>
        </patternFill>
      </fill>
    </dxf>
    <dxf>
      <fill>
        <patternFill>
          <bgColor rgb="FF5EE9E7"/>
        </patternFill>
      </fill>
    </dxf>
    <dxf>
      <font>
        <color theme="1"/>
      </font>
      <fill>
        <patternFill>
          <bgColor rgb="FF92D050"/>
        </patternFill>
      </fill>
    </dxf>
    <dxf>
      <font>
        <color theme="1"/>
      </font>
      <fill>
        <patternFill>
          <bgColor rgb="FF03C25B"/>
        </patternFill>
      </fill>
    </dxf>
    <dxf>
      <fill>
        <patternFill>
          <bgColor theme="7" tint="0.39994506668294322"/>
        </patternFill>
      </fill>
    </dxf>
    <dxf>
      <fill>
        <patternFill>
          <bgColor theme="0" tint="-0.14993743705557422"/>
        </patternFill>
      </fill>
    </dxf>
    <dxf>
      <fill>
        <patternFill>
          <bgColor theme="7" tint="0.79998168889431442"/>
        </patternFill>
      </fill>
    </dxf>
    <dxf>
      <fill>
        <patternFill>
          <bgColor rgb="FFABEFEA"/>
        </patternFill>
      </fill>
    </dxf>
    <dxf>
      <fill>
        <patternFill>
          <bgColor rgb="FF5EE9E7"/>
        </patternFill>
      </fill>
    </dxf>
    <dxf>
      <font>
        <color theme="1"/>
      </font>
      <fill>
        <patternFill>
          <bgColor rgb="FF92D050"/>
        </patternFill>
      </fill>
    </dxf>
    <dxf>
      <font>
        <color theme="1"/>
      </font>
      <fill>
        <patternFill>
          <bgColor rgb="FF03C25B"/>
        </patternFill>
      </fill>
    </dxf>
    <dxf>
      <fill>
        <patternFill>
          <bgColor theme="7" tint="0.39994506668294322"/>
        </patternFill>
      </fill>
    </dxf>
    <dxf>
      <fill>
        <patternFill>
          <bgColor theme="0" tint="-0.14993743705557422"/>
        </patternFill>
      </fill>
    </dxf>
    <dxf>
      <fill>
        <patternFill>
          <bgColor theme="7" tint="0.79998168889431442"/>
        </patternFill>
      </fill>
    </dxf>
    <dxf>
      <fill>
        <patternFill>
          <bgColor rgb="FFABEFEA"/>
        </patternFill>
      </fill>
    </dxf>
    <dxf>
      <fill>
        <patternFill>
          <bgColor rgb="FF5EE9E7"/>
        </patternFill>
      </fill>
    </dxf>
    <dxf>
      <font>
        <color theme="1"/>
      </font>
      <fill>
        <patternFill>
          <bgColor rgb="FF92D050"/>
        </patternFill>
      </fill>
    </dxf>
    <dxf>
      <font>
        <color theme="1"/>
      </font>
      <fill>
        <patternFill>
          <bgColor rgb="FF03C25B"/>
        </patternFill>
      </fill>
    </dxf>
    <dxf>
      <fill>
        <patternFill>
          <bgColor theme="7" tint="0.39994506668294322"/>
        </patternFill>
      </fill>
    </dxf>
    <dxf>
      <fill>
        <patternFill>
          <bgColor theme="0" tint="-0.14993743705557422"/>
        </patternFill>
      </fill>
    </dxf>
    <dxf>
      <fill>
        <patternFill>
          <bgColor theme="7" tint="0.79998168889431442"/>
        </patternFill>
      </fill>
    </dxf>
    <dxf>
      <fill>
        <patternFill>
          <bgColor rgb="FFABEFEA"/>
        </patternFill>
      </fill>
    </dxf>
    <dxf>
      <fill>
        <patternFill>
          <bgColor rgb="FF5EE9E7"/>
        </patternFill>
      </fill>
    </dxf>
    <dxf>
      <font>
        <color theme="1"/>
      </font>
      <fill>
        <patternFill>
          <bgColor rgb="FF92D050"/>
        </patternFill>
      </fill>
    </dxf>
    <dxf>
      <font>
        <color theme="1"/>
      </font>
      <fill>
        <patternFill>
          <bgColor rgb="FF03C25B"/>
        </patternFill>
      </fill>
    </dxf>
    <dxf>
      <fill>
        <patternFill>
          <bgColor theme="7" tint="0.39994506668294322"/>
        </patternFill>
      </fill>
    </dxf>
    <dxf>
      <fill>
        <patternFill>
          <bgColor theme="0" tint="-0.14993743705557422"/>
        </patternFill>
      </fill>
    </dxf>
    <dxf>
      <fill>
        <patternFill>
          <bgColor theme="7" tint="0.79998168889431442"/>
        </patternFill>
      </fill>
    </dxf>
    <dxf>
      <fill>
        <patternFill>
          <bgColor rgb="FFABEFEA"/>
        </patternFill>
      </fill>
    </dxf>
    <dxf>
      <fill>
        <patternFill>
          <bgColor rgb="FF5EE9E7"/>
        </patternFill>
      </fill>
    </dxf>
    <dxf>
      <font>
        <color theme="1"/>
      </font>
      <fill>
        <patternFill>
          <bgColor rgb="FF92D050"/>
        </patternFill>
      </fill>
    </dxf>
    <dxf>
      <font>
        <color theme="1"/>
      </font>
      <fill>
        <patternFill>
          <bgColor rgb="FF03C25B"/>
        </patternFill>
      </fill>
    </dxf>
    <dxf>
      <fill>
        <patternFill>
          <bgColor theme="7" tint="0.39994506668294322"/>
        </patternFill>
      </fill>
    </dxf>
    <dxf>
      <fill>
        <patternFill>
          <bgColor theme="0" tint="-0.14993743705557422"/>
        </patternFill>
      </fill>
    </dxf>
    <dxf>
      <fill>
        <patternFill>
          <bgColor theme="7" tint="0.79998168889431442"/>
        </patternFill>
      </fill>
    </dxf>
    <dxf>
      <fill>
        <patternFill>
          <bgColor rgb="FFABEFEA"/>
        </patternFill>
      </fill>
    </dxf>
    <dxf>
      <fill>
        <patternFill>
          <bgColor rgb="FF5EE9E7"/>
        </patternFill>
      </fill>
    </dxf>
    <dxf>
      <font>
        <color theme="1"/>
      </font>
      <fill>
        <patternFill>
          <bgColor rgb="FF92D050"/>
        </patternFill>
      </fill>
    </dxf>
    <dxf>
      <font>
        <color theme="1"/>
      </font>
      <fill>
        <patternFill>
          <bgColor rgb="FF03C25B"/>
        </patternFill>
      </fill>
    </dxf>
    <dxf>
      <fill>
        <patternFill>
          <bgColor theme="7" tint="0.39994506668294322"/>
        </patternFill>
      </fill>
    </dxf>
    <dxf>
      <fill>
        <patternFill>
          <bgColor theme="0" tint="-0.14993743705557422"/>
        </patternFill>
      </fill>
    </dxf>
    <dxf>
      <fill>
        <patternFill>
          <bgColor theme="7" tint="0.79998168889431442"/>
        </patternFill>
      </fill>
    </dxf>
    <dxf>
      <fill>
        <patternFill>
          <bgColor rgb="FFABEFEA"/>
        </patternFill>
      </fill>
    </dxf>
    <dxf>
      <fill>
        <patternFill>
          <bgColor rgb="FF5EE9E7"/>
        </patternFill>
      </fill>
    </dxf>
    <dxf>
      <font>
        <color theme="1"/>
      </font>
      <fill>
        <patternFill>
          <bgColor rgb="FF92D050"/>
        </patternFill>
      </fill>
    </dxf>
    <dxf>
      <font>
        <color theme="1"/>
      </font>
      <fill>
        <patternFill>
          <bgColor rgb="FF03C25B"/>
        </patternFill>
      </fill>
    </dxf>
    <dxf>
      <fill>
        <patternFill>
          <bgColor theme="7" tint="0.39994506668294322"/>
        </patternFill>
      </fill>
    </dxf>
    <dxf>
      <fill>
        <patternFill>
          <bgColor theme="0" tint="-0.14993743705557422"/>
        </patternFill>
      </fill>
    </dxf>
    <dxf>
      <fill>
        <patternFill>
          <bgColor theme="7" tint="0.79998168889431442"/>
        </patternFill>
      </fill>
    </dxf>
    <dxf>
      <fill>
        <patternFill>
          <bgColor rgb="FFABEFEA"/>
        </patternFill>
      </fill>
    </dxf>
    <dxf>
      <fill>
        <patternFill>
          <bgColor rgb="FF5EE9E7"/>
        </patternFill>
      </fill>
    </dxf>
    <dxf>
      <font>
        <color theme="1"/>
      </font>
      <fill>
        <patternFill>
          <bgColor rgb="FF92D050"/>
        </patternFill>
      </fill>
    </dxf>
    <dxf>
      <font>
        <color theme="1"/>
      </font>
      <fill>
        <patternFill>
          <bgColor rgb="FF03C25B"/>
        </patternFill>
      </fill>
    </dxf>
    <dxf>
      <fill>
        <patternFill>
          <bgColor theme="7" tint="0.39994506668294322"/>
        </patternFill>
      </fill>
    </dxf>
    <dxf>
      <fill>
        <patternFill>
          <bgColor theme="0" tint="-0.14993743705557422"/>
        </patternFill>
      </fill>
    </dxf>
    <dxf>
      <fill>
        <patternFill>
          <bgColor theme="7" tint="0.79998168889431442"/>
        </patternFill>
      </fill>
    </dxf>
    <dxf>
      <fill>
        <patternFill>
          <bgColor rgb="FFABEFEA"/>
        </patternFill>
      </fill>
    </dxf>
    <dxf>
      <fill>
        <patternFill>
          <bgColor rgb="FF5EE9E7"/>
        </patternFill>
      </fill>
    </dxf>
    <dxf>
      <font>
        <color theme="1"/>
      </font>
      <fill>
        <patternFill>
          <bgColor rgb="FF92D050"/>
        </patternFill>
      </fill>
    </dxf>
    <dxf>
      <font>
        <color theme="1"/>
      </font>
      <fill>
        <patternFill>
          <bgColor rgb="FF03C25B"/>
        </patternFill>
      </fill>
    </dxf>
    <dxf>
      <fill>
        <patternFill>
          <bgColor theme="7" tint="0.39994506668294322"/>
        </patternFill>
      </fill>
    </dxf>
    <dxf>
      <fill>
        <patternFill>
          <bgColor theme="0" tint="-0.14993743705557422"/>
        </patternFill>
      </fill>
    </dxf>
    <dxf>
      <fill>
        <patternFill>
          <bgColor theme="7" tint="0.79998168889431442"/>
        </patternFill>
      </fill>
    </dxf>
    <dxf>
      <fill>
        <patternFill>
          <bgColor rgb="FFABEFEA"/>
        </patternFill>
      </fill>
    </dxf>
    <dxf>
      <fill>
        <patternFill>
          <bgColor rgb="FF5EE9E7"/>
        </patternFill>
      </fill>
    </dxf>
    <dxf>
      <font>
        <color theme="1"/>
      </font>
      <fill>
        <patternFill>
          <bgColor rgb="FF92D050"/>
        </patternFill>
      </fill>
    </dxf>
    <dxf>
      <font>
        <color theme="1"/>
      </font>
      <fill>
        <patternFill>
          <bgColor rgb="FF03C25B"/>
        </patternFill>
      </fill>
    </dxf>
    <dxf>
      <fill>
        <patternFill>
          <bgColor theme="7" tint="0.39994506668294322"/>
        </patternFill>
      </fill>
    </dxf>
    <dxf>
      <fill>
        <patternFill>
          <bgColor theme="0" tint="-0.14993743705557422"/>
        </patternFill>
      </fill>
    </dxf>
    <dxf>
      <fill>
        <patternFill>
          <bgColor theme="7" tint="0.79998168889431442"/>
        </patternFill>
      </fill>
    </dxf>
    <dxf>
      <fill>
        <patternFill>
          <bgColor rgb="FFABEFEA"/>
        </patternFill>
      </fill>
    </dxf>
    <dxf>
      <fill>
        <patternFill>
          <bgColor rgb="FF5EE9E7"/>
        </patternFill>
      </fill>
    </dxf>
    <dxf>
      <font>
        <color theme="1"/>
      </font>
      <fill>
        <patternFill>
          <bgColor rgb="FF92D050"/>
        </patternFill>
      </fill>
    </dxf>
    <dxf>
      <font>
        <color theme="1"/>
      </font>
      <fill>
        <patternFill>
          <bgColor rgb="FF03C25B"/>
        </patternFill>
      </fill>
    </dxf>
    <dxf>
      <fill>
        <patternFill>
          <bgColor theme="7" tint="0.39994506668294322"/>
        </patternFill>
      </fill>
    </dxf>
    <dxf>
      <fill>
        <patternFill>
          <bgColor theme="0" tint="-0.14993743705557422"/>
        </patternFill>
      </fill>
    </dxf>
    <dxf>
      <fill>
        <patternFill>
          <bgColor theme="7" tint="0.79998168889431442"/>
        </patternFill>
      </fill>
    </dxf>
    <dxf>
      <fill>
        <patternFill>
          <bgColor rgb="FFABEFEA"/>
        </patternFill>
      </fill>
    </dxf>
    <dxf>
      <fill>
        <patternFill>
          <bgColor rgb="FF5EE9E7"/>
        </patternFill>
      </fill>
    </dxf>
    <dxf>
      <font>
        <color theme="1"/>
      </font>
      <fill>
        <patternFill>
          <bgColor rgb="FF92D050"/>
        </patternFill>
      </fill>
    </dxf>
    <dxf>
      <font>
        <color theme="1"/>
      </font>
      <fill>
        <patternFill>
          <bgColor rgb="FF03C25B"/>
        </patternFill>
      </fill>
    </dxf>
    <dxf>
      <fill>
        <patternFill>
          <bgColor theme="7" tint="0.39994506668294322"/>
        </patternFill>
      </fill>
    </dxf>
    <dxf>
      <fill>
        <patternFill>
          <bgColor theme="0" tint="-0.14993743705557422"/>
        </patternFill>
      </fill>
    </dxf>
    <dxf>
      <fill>
        <patternFill>
          <bgColor theme="7" tint="0.79998168889431442"/>
        </patternFill>
      </fill>
    </dxf>
    <dxf>
      <fill>
        <patternFill>
          <bgColor rgb="FFABEFEA"/>
        </patternFill>
      </fill>
    </dxf>
    <dxf>
      <fill>
        <patternFill>
          <bgColor rgb="FF5EE9E7"/>
        </patternFill>
      </fill>
    </dxf>
    <dxf>
      <font>
        <color theme="1"/>
      </font>
      <fill>
        <patternFill>
          <bgColor rgb="FF92D050"/>
        </patternFill>
      </fill>
    </dxf>
    <dxf>
      <font>
        <color theme="1"/>
      </font>
      <fill>
        <patternFill>
          <bgColor rgb="FF03C25B"/>
        </patternFill>
      </fill>
    </dxf>
    <dxf>
      <fill>
        <patternFill>
          <bgColor theme="7" tint="0.39994506668294322"/>
        </patternFill>
      </fill>
    </dxf>
    <dxf>
      <fill>
        <patternFill>
          <bgColor theme="0" tint="-0.14993743705557422"/>
        </patternFill>
      </fill>
    </dxf>
    <dxf>
      <fill>
        <patternFill>
          <bgColor theme="7" tint="0.79998168889431442"/>
        </patternFill>
      </fill>
    </dxf>
    <dxf>
      <fill>
        <patternFill>
          <bgColor rgb="FFABEFEA"/>
        </patternFill>
      </fill>
    </dxf>
    <dxf>
      <fill>
        <patternFill>
          <bgColor rgb="FF5EE9E7"/>
        </patternFill>
      </fill>
    </dxf>
    <dxf>
      <font>
        <color theme="1"/>
      </font>
      <fill>
        <patternFill>
          <bgColor rgb="FF92D050"/>
        </patternFill>
      </fill>
    </dxf>
    <dxf>
      <font>
        <color theme="1"/>
      </font>
      <fill>
        <patternFill>
          <bgColor rgb="FF03C25B"/>
        </patternFill>
      </fill>
    </dxf>
    <dxf>
      <fill>
        <patternFill>
          <bgColor theme="7" tint="0.39994506668294322"/>
        </patternFill>
      </fill>
    </dxf>
    <dxf>
      <fill>
        <patternFill>
          <bgColor theme="0" tint="-0.14993743705557422"/>
        </patternFill>
      </fill>
    </dxf>
    <dxf>
      <fill>
        <patternFill>
          <bgColor theme="7" tint="0.79998168889431442"/>
        </patternFill>
      </fill>
    </dxf>
    <dxf>
      <fill>
        <patternFill>
          <bgColor rgb="FFABEFEA"/>
        </patternFill>
      </fill>
    </dxf>
    <dxf>
      <fill>
        <patternFill>
          <bgColor rgb="FF5EE9E7"/>
        </patternFill>
      </fill>
    </dxf>
    <dxf>
      <font>
        <color theme="1"/>
      </font>
      <fill>
        <patternFill>
          <bgColor rgb="FF92D050"/>
        </patternFill>
      </fill>
    </dxf>
    <dxf>
      <font>
        <color theme="1"/>
      </font>
      <fill>
        <patternFill>
          <bgColor rgb="FF03C25B"/>
        </patternFill>
      </fill>
    </dxf>
    <dxf>
      <fill>
        <patternFill>
          <bgColor theme="7" tint="0.39994506668294322"/>
        </patternFill>
      </fill>
    </dxf>
    <dxf>
      <fill>
        <patternFill>
          <bgColor theme="0" tint="-0.14993743705557422"/>
        </patternFill>
      </fill>
    </dxf>
    <dxf>
      <fill>
        <patternFill>
          <bgColor theme="7" tint="0.79998168889431442"/>
        </patternFill>
      </fill>
    </dxf>
    <dxf>
      <fill>
        <patternFill>
          <bgColor rgb="FFABEFEA"/>
        </patternFill>
      </fill>
    </dxf>
    <dxf>
      <fill>
        <patternFill>
          <bgColor rgb="FF5EE9E7"/>
        </patternFill>
      </fill>
    </dxf>
    <dxf>
      <font>
        <color theme="1"/>
      </font>
      <fill>
        <patternFill>
          <bgColor rgb="FF92D050"/>
        </patternFill>
      </fill>
    </dxf>
    <dxf>
      <font>
        <color theme="1"/>
      </font>
      <fill>
        <patternFill>
          <bgColor rgb="FF03C25B"/>
        </patternFill>
      </fill>
    </dxf>
    <dxf>
      <fill>
        <patternFill>
          <bgColor theme="7" tint="0.39994506668294322"/>
        </patternFill>
      </fill>
    </dxf>
    <dxf>
      <fill>
        <patternFill>
          <bgColor theme="0" tint="-0.14993743705557422"/>
        </patternFill>
      </fill>
    </dxf>
    <dxf>
      <fill>
        <patternFill>
          <bgColor theme="7" tint="0.79998168889431442"/>
        </patternFill>
      </fill>
    </dxf>
    <dxf>
      <fill>
        <patternFill>
          <bgColor rgb="FFABEFEA"/>
        </patternFill>
      </fill>
    </dxf>
    <dxf>
      <fill>
        <patternFill>
          <bgColor rgb="FF5EE9E7"/>
        </patternFill>
      </fill>
    </dxf>
    <dxf>
      <font>
        <color theme="1"/>
      </font>
      <fill>
        <patternFill>
          <bgColor rgb="FF92D050"/>
        </patternFill>
      </fill>
    </dxf>
    <dxf>
      <font>
        <color theme="1"/>
      </font>
      <fill>
        <patternFill>
          <bgColor rgb="FF03C25B"/>
        </patternFill>
      </fill>
    </dxf>
    <dxf>
      <fill>
        <patternFill>
          <bgColor theme="7" tint="0.39994506668294322"/>
        </patternFill>
      </fill>
    </dxf>
    <dxf>
      <fill>
        <patternFill>
          <bgColor theme="0" tint="-0.14993743705557422"/>
        </patternFill>
      </fill>
    </dxf>
    <dxf>
      <fill>
        <patternFill>
          <bgColor theme="7" tint="0.79998168889431442"/>
        </patternFill>
      </fill>
    </dxf>
    <dxf>
      <fill>
        <patternFill>
          <bgColor rgb="FFABEFEA"/>
        </patternFill>
      </fill>
    </dxf>
    <dxf>
      <fill>
        <patternFill>
          <bgColor rgb="FF5EE9E7"/>
        </patternFill>
      </fill>
    </dxf>
    <dxf>
      <font>
        <color theme="1"/>
      </font>
      <fill>
        <patternFill>
          <bgColor rgb="FF92D050"/>
        </patternFill>
      </fill>
    </dxf>
    <dxf>
      <font>
        <color theme="1"/>
      </font>
      <fill>
        <patternFill>
          <bgColor rgb="FF03C25B"/>
        </patternFill>
      </fill>
    </dxf>
    <dxf>
      <fill>
        <patternFill>
          <bgColor theme="7" tint="0.39994506668294322"/>
        </patternFill>
      </fill>
    </dxf>
    <dxf>
      <fill>
        <patternFill>
          <bgColor theme="0" tint="-0.14993743705557422"/>
        </patternFill>
      </fill>
    </dxf>
    <dxf>
      <fill>
        <patternFill>
          <bgColor theme="7" tint="0.79998168889431442"/>
        </patternFill>
      </fill>
    </dxf>
    <dxf>
      <fill>
        <patternFill>
          <bgColor rgb="FFABEFEA"/>
        </patternFill>
      </fill>
    </dxf>
    <dxf>
      <fill>
        <patternFill>
          <bgColor rgb="FF5EE9E7"/>
        </patternFill>
      </fill>
    </dxf>
    <dxf>
      <font>
        <color theme="1"/>
      </font>
      <fill>
        <patternFill>
          <bgColor rgb="FF92D050"/>
        </patternFill>
      </fill>
    </dxf>
    <dxf>
      <font>
        <color theme="1"/>
      </font>
      <fill>
        <patternFill>
          <bgColor rgb="FF03C25B"/>
        </patternFill>
      </fill>
    </dxf>
    <dxf>
      <fill>
        <patternFill>
          <bgColor theme="7" tint="0.39994506668294322"/>
        </patternFill>
      </fill>
    </dxf>
    <dxf>
      <fill>
        <patternFill>
          <bgColor theme="0" tint="-0.14993743705557422"/>
        </patternFill>
      </fill>
    </dxf>
    <dxf>
      <fill>
        <patternFill>
          <bgColor theme="7" tint="0.79998168889431442"/>
        </patternFill>
      </fill>
    </dxf>
    <dxf>
      <fill>
        <patternFill>
          <bgColor rgb="FFABEFEA"/>
        </patternFill>
      </fill>
    </dxf>
    <dxf>
      <fill>
        <patternFill>
          <bgColor rgb="FF5EE9E7"/>
        </patternFill>
      </fill>
    </dxf>
    <dxf>
      <font>
        <color theme="1"/>
      </font>
      <fill>
        <patternFill>
          <bgColor rgb="FF92D050"/>
        </patternFill>
      </fill>
    </dxf>
    <dxf>
      <font>
        <color theme="1"/>
      </font>
      <fill>
        <patternFill>
          <bgColor rgb="FF03C25B"/>
        </patternFill>
      </fill>
    </dxf>
    <dxf>
      <fill>
        <patternFill>
          <bgColor theme="7" tint="0.39994506668294322"/>
        </patternFill>
      </fill>
    </dxf>
    <dxf>
      <fill>
        <patternFill>
          <bgColor theme="0" tint="-0.14993743705557422"/>
        </patternFill>
      </fill>
    </dxf>
    <dxf>
      <fill>
        <patternFill>
          <bgColor theme="7" tint="0.79998168889431442"/>
        </patternFill>
      </fill>
    </dxf>
    <dxf>
      <fill>
        <patternFill>
          <bgColor rgb="FFABEFEA"/>
        </patternFill>
      </fill>
    </dxf>
    <dxf>
      <fill>
        <patternFill>
          <bgColor rgb="FF5EE9E7"/>
        </patternFill>
      </fill>
    </dxf>
    <dxf>
      <font>
        <color theme="1"/>
      </font>
      <fill>
        <patternFill>
          <bgColor rgb="FF92D050"/>
        </patternFill>
      </fill>
    </dxf>
    <dxf>
      <font>
        <color theme="1"/>
      </font>
      <fill>
        <patternFill>
          <bgColor rgb="FF03C25B"/>
        </patternFill>
      </fill>
    </dxf>
    <dxf>
      <fill>
        <patternFill>
          <bgColor theme="7" tint="0.39994506668294322"/>
        </patternFill>
      </fill>
    </dxf>
    <dxf>
      <fill>
        <patternFill>
          <bgColor theme="0" tint="-0.14993743705557422"/>
        </patternFill>
      </fill>
    </dxf>
    <dxf>
      <fill>
        <patternFill>
          <bgColor theme="7" tint="0.79998168889431442"/>
        </patternFill>
      </fill>
    </dxf>
    <dxf>
      <fill>
        <patternFill>
          <bgColor rgb="FFABEFEA"/>
        </patternFill>
      </fill>
    </dxf>
    <dxf>
      <fill>
        <patternFill>
          <bgColor rgb="FF5EE9E7"/>
        </patternFill>
      </fill>
    </dxf>
    <dxf>
      <font>
        <color theme="1"/>
      </font>
      <fill>
        <patternFill>
          <bgColor rgb="FF92D050"/>
        </patternFill>
      </fill>
    </dxf>
    <dxf>
      <font>
        <color theme="1"/>
      </font>
      <fill>
        <patternFill>
          <bgColor rgb="FF03C25B"/>
        </patternFill>
      </fill>
    </dxf>
    <dxf>
      <fill>
        <patternFill>
          <bgColor theme="7" tint="0.39994506668294322"/>
        </patternFill>
      </fill>
    </dxf>
    <dxf>
      <fill>
        <patternFill>
          <bgColor theme="0" tint="-0.14993743705557422"/>
        </patternFill>
      </fill>
    </dxf>
    <dxf>
      <fill>
        <patternFill>
          <bgColor theme="7" tint="0.79998168889431442"/>
        </patternFill>
      </fill>
    </dxf>
    <dxf>
      <fill>
        <patternFill>
          <bgColor rgb="FFABEFEA"/>
        </patternFill>
      </fill>
    </dxf>
    <dxf>
      <fill>
        <patternFill>
          <bgColor rgb="FF5EE9E7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00EAF0"/>
        </patternFill>
      </fill>
    </dxf>
    <dxf>
      <font>
        <color rgb="FF600000"/>
      </font>
      <fill>
        <patternFill>
          <bgColor rgb="FFFF927C"/>
        </patternFill>
      </fill>
    </dxf>
    <dxf>
      <font>
        <color theme="1"/>
      </font>
      <fill>
        <patternFill>
          <fgColor theme="1"/>
          <bgColor rgb="FFE7FFCA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ABEFEA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theme="0" tint="-0.24994659260841701"/>
        </patternFill>
      </fill>
    </dxf>
    <dxf>
      <fill>
        <patternFill>
          <bgColor rgb="FF5EE9E7"/>
        </patternFill>
      </fill>
    </dxf>
    <dxf>
      <fill>
        <patternFill>
          <bgColor rgb="FFFFF2CC"/>
        </patternFill>
      </fill>
    </dxf>
    <dxf>
      <font>
        <color theme="1"/>
      </font>
      <fill>
        <patternFill>
          <bgColor rgb="FF92D050"/>
        </patternFill>
      </fill>
    </dxf>
    <dxf>
      <font>
        <color theme="1"/>
      </font>
      <fill>
        <patternFill>
          <bgColor rgb="FF03C25B"/>
        </patternFill>
      </fill>
    </dxf>
    <dxf>
      <fill>
        <patternFill>
          <bgColor theme="7" tint="0.39994506668294322"/>
        </patternFill>
      </fill>
    </dxf>
    <dxf>
      <fill>
        <patternFill>
          <bgColor theme="0" tint="-0.14993743705557422"/>
        </patternFill>
      </fill>
    </dxf>
    <dxf>
      <fill>
        <patternFill>
          <bgColor theme="7" tint="0.79998168889431442"/>
        </patternFill>
      </fill>
    </dxf>
    <dxf>
      <fill>
        <patternFill>
          <bgColor rgb="FFABEFEA"/>
        </patternFill>
      </fill>
    </dxf>
    <dxf>
      <fill>
        <patternFill>
          <bgColor rgb="FF5EE9E7"/>
        </patternFill>
      </fill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externalLink" Target="externalLinks/externalLink1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2.xml"/></Relationships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Disclaimer-Smartsheet-Templates_Solution1-Tab5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microsoft.com/office/2006/relationships/xlExternalLinkPath/xlPathMissing" Target="IC-Risk-Assessment-and-Control-Template25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aintenance Work Order"/>
      <sheetName val="BLANK - Maintenance Work Order "/>
      <sheetName val="- Disclaimer -"/>
    </sheetNames>
    <sheetDataSet>
      <sheetData sheetId="0"/>
      <sheetData sheetId="1" refreshError="1"/>
      <sheetData sheetId="2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isk Assessment &amp; Control"/>
    </sheetNames>
    <sheetDataSet>
      <sheetData sheetId="0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3" tint="0.59999389629810485"/>
    <pageSetUpPr fitToPage="1"/>
  </sheetPr>
  <dimension ref="A1:AO404"/>
  <sheetViews>
    <sheetView showGridLines="0" tabSelected="1" zoomScale="71" zoomScaleNormal="55" workbookViewId="0">
      <selection activeCell="R114" sqref="R114"/>
    </sheetView>
  </sheetViews>
  <sheetFormatPr baseColWidth="10" defaultColWidth="11" defaultRowHeight="13.5" x14ac:dyDescent="0.25"/>
  <cols>
    <col min="1" max="1" width="3.125" style="2" customWidth="1"/>
    <col min="2" max="2" width="40" style="2" customWidth="1"/>
    <col min="3" max="3" width="20.875" style="2" customWidth="1"/>
    <col min="4" max="4" width="12.875" style="2" customWidth="1"/>
    <col min="5" max="7" width="11.625" style="2" customWidth="1"/>
    <col min="8" max="8" width="8.875" style="2" customWidth="1"/>
    <col min="9" max="9" width="10" style="2" customWidth="1"/>
    <col min="10" max="10" width="11.875" style="2" customWidth="1"/>
    <col min="11" max="11" width="8.875" style="2" customWidth="1"/>
    <col min="12" max="12" width="10" style="2" customWidth="1"/>
    <col min="13" max="15" width="11.875" style="2" customWidth="1"/>
    <col min="16" max="16" width="11.625" style="2" bestFit="1" customWidth="1"/>
    <col min="17" max="19" width="12.875" style="2" customWidth="1"/>
    <col min="20" max="20" width="3.125" style="2" customWidth="1"/>
    <col min="21" max="21" width="11" style="2" customWidth="1"/>
    <col min="22" max="16384" width="11" style="2"/>
  </cols>
  <sheetData>
    <row r="1" spans="1:41" ht="45" customHeight="1" thickBot="1" x14ac:dyDescent="0.3">
      <c r="A1" s="1"/>
      <c r="B1" s="25" t="s">
        <v>0</v>
      </c>
      <c r="C1" s="13"/>
      <c r="D1" s="13"/>
      <c r="E1" s="13"/>
      <c r="F1" s="66"/>
      <c r="G1" s="13"/>
      <c r="H1" s="13"/>
      <c r="I1" s="13"/>
      <c r="J1" s="13"/>
      <c r="K1" s="13"/>
      <c r="L1" s="13"/>
      <c r="M1" s="13"/>
      <c r="N1" s="13"/>
      <c r="O1" s="3"/>
      <c r="P1" s="3"/>
      <c r="Q1" s="3"/>
      <c r="R1" s="3"/>
      <c r="S1" s="3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</row>
    <row r="2" spans="1:41" s="5" customFormat="1" ht="35.1" customHeight="1" x14ac:dyDescent="0.25">
      <c r="A2" s="4"/>
      <c r="B2" s="31" t="s">
        <v>1</v>
      </c>
      <c r="C2" s="31"/>
      <c r="D2" s="31"/>
      <c r="E2" s="31"/>
      <c r="F2" s="31"/>
      <c r="G2" s="46"/>
      <c r="H2" s="69" t="s">
        <v>2</v>
      </c>
      <c r="I2" s="70"/>
      <c r="J2" s="71"/>
      <c r="K2" s="72" t="s">
        <v>3</v>
      </c>
      <c r="L2" s="70"/>
      <c r="M2" s="71"/>
      <c r="N2" s="75" t="s">
        <v>4</v>
      </c>
      <c r="O2" s="70"/>
      <c r="P2" s="76"/>
      <c r="Q2" s="73" t="s">
        <v>5</v>
      </c>
      <c r="R2" s="70"/>
      <c r="S2" s="74"/>
      <c r="T2" s="4"/>
      <c r="U2" s="4"/>
      <c r="V2" s="4"/>
      <c r="W2" s="4"/>
      <c r="X2" s="4"/>
      <c r="Y2" s="4"/>
      <c r="Z2" s="4"/>
      <c r="AA2" s="4"/>
      <c r="AB2" s="4"/>
      <c r="AC2" s="4"/>
      <c r="AD2" s="4"/>
      <c r="AE2" s="4"/>
      <c r="AF2" s="4"/>
      <c r="AG2" s="4"/>
      <c r="AH2" s="4"/>
      <c r="AI2" s="4"/>
      <c r="AJ2" s="4"/>
      <c r="AK2" s="4"/>
      <c r="AL2" s="4"/>
      <c r="AM2" s="4"/>
      <c r="AN2" s="4"/>
      <c r="AO2" s="4"/>
    </row>
    <row r="3" spans="1:41" s="5" customFormat="1" ht="35.1" customHeight="1" x14ac:dyDescent="0.25">
      <c r="A3" s="4"/>
      <c r="B3" s="26" t="s">
        <v>6</v>
      </c>
      <c r="C3" s="26" t="s">
        <v>7</v>
      </c>
      <c r="D3" s="26" t="s">
        <v>8</v>
      </c>
      <c r="E3" s="9" t="s">
        <v>9</v>
      </c>
      <c r="F3" s="9" t="s">
        <v>10</v>
      </c>
      <c r="G3" s="47" t="s">
        <v>11</v>
      </c>
      <c r="H3" s="39" t="s">
        <v>12</v>
      </c>
      <c r="I3" s="10" t="s">
        <v>13</v>
      </c>
      <c r="J3" s="10" t="s">
        <v>14</v>
      </c>
      <c r="K3" s="9" t="s">
        <v>15</v>
      </c>
      <c r="L3" s="9" t="s">
        <v>16</v>
      </c>
      <c r="M3" s="9" t="s">
        <v>17</v>
      </c>
      <c r="N3" s="9" t="s">
        <v>18</v>
      </c>
      <c r="O3" s="9" t="s">
        <v>19</v>
      </c>
      <c r="P3" s="37" t="s">
        <v>20</v>
      </c>
      <c r="Q3" s="44" t="s">
        <v>21</v>
      </c>
      <c r="R3" s="43" t="s">
        <v>22</v>
      </c>
      <c r="S3" s="41" t="s">
        <v>23</v>
      </c>
      <c r="T3" s="4"/>
      <c r="U3" s="4"/>
      <c r="V3" s="4"/>
      <c r="W3" s="4"/>
      <c r="X3" s="4"/>
      <c r="Y3" s="4"/>
      <c r="Z3" s="4"/>
      <c r="AA3" s="4"/>
      <c r="AB3" s="4"/>
      <c r="AC3" s="4"/>
      <c r="AD3" s="4"/>
      <c r="AE3" s="4"/>
      <c r="AF3" s="4"/>
      <c r="AG3" s="4"/>
      <c r="AH3" s="4"/>
      <c r="AI3" s="4"/>
      <c r="AJ3" s="4"/>
      <c r="AK3" s="4"/>
      <c r="AL3" s="4"/>
      <c r="AM3" s="4"/>
      <c r="AN3" s="4"/>
      <c r="AO3" s="4"/>
    </row>
    <row r="4" spans="1:41" s="5" customFormat="1" ht="30" customHeight="1" x14ac:dyDescent="0.25">
      <c r="A4" s="4"/>
      <c r="B4" s="27" t="s">
        <v>24</v>
      </c>
      <c r="C4" s="27"/>
      <c r="D4" s="27"/>
      <c r="E4" s="49"/>
      <c r="F4" s="49"/>
      <c r="G4" s="50"/>
      <c r="H4" s="51"/>
      <c r="I4" s="52"/>
      <c r="J4" s="52"/>
      <c r="K4" s="52"/>
      <c r="L4" s="52"/>
      <c r="M4" s="52"/>
      <c r="N4" s="52"/>
      <c r="O4" s="52"/>
      <c r="P4" s="53"/>
      <c r="Q4" s="54"/>
      <c r="R4" s="55"/>
      <c r="S4" s="55"/>
      <c r="T4" s="4"/>
      <c r="U4" s="4"/>
      <c r="V4" s="4"/>
      <c r="W4" s="4"/>
      <c r="X4" s="4"/>
      <c r="Y4" s="4"/>
      <c r="Z4" s="4"/>
      <c r="AA4" s="4"/>
      <c r="AB4" s="4"/>
      <c r="AC4" s="4"/>
      <c r="AD4" s="4"/>
      <c r="AE4" s="4"/>
      <c r="AF4" s="4"/>
      <c r="AG4" s="4"/>
      <c r="AH4" s="4"/>
      <c r="AI4" s="4"/>
      <c r="AJ4" s="4"/>
      <c r="AK4" s="4"/>
      <c r="AL4" s="4"/>
      <c r="AM4" s="4"/>
      <c r="AN4" s="4"/>
      <c r="AO4" s="4"/>
    </row>
    <row r="5" spans="1:41" s="5" customFormat="1" ht="36.75" customHeight="1" x14ac:dyDescent="0.25">
      <c r="A5" s="4"/>
      <c r="B5" s="28" t="s">
        <v>25</v>
      </c>
      <c r="C5" s="28" t="s">
        <v>26</v>
      </c>
      <c r="D5" s="6" t="s">
        <v>27</v>
      </c>
      <c r="E5" s="33"/>
      <c r="F5" s="33">
        <v>46205</v>
      </c>
      <c r="G5" s="56" t="s">
        <v>28</v>
      </c>
      <c r="H5" s="57">
        <v>4</v>
      </c>
      <c r="I5" s="35">
        <v>14000</v>
      </c>
      <c r="J5" s="58">
        <f t="shared" ref="J5:J36" si="0">H5*I5</f>
        <v>56000</v>
      </c>
      <c r="K5" s="34">
        <v>0</v>
      </c>
      <c r="L5" s="35">
        <v>0</v>
      </c>
      <c r="M5" s="58">
        <f t="shared" ref="M5:M36" si="1">K5*L5</f>
        <v>0</v>
      </c>
      <c r="N5" s="36">
        <v>0</v>
      </c>
      <c r="O5" s="36">
        <v>10000</v>
      </c>
      <c r="P5" s="59">
        <v>5000</v>
      </c>
      <c r="Q5" s="60">
        <v>71000</v>
      </c>
      <c r="R5" s="61">
        <v>70000</v>
      </c>
      <c r="S5" s="62">
        <f t="shared" ref="S5:S36" si="2">R5-Q5</f>
        <v>-1000</v>
      </c>
      <c r="T5" s="4"/>
      <c r="U5" s="4"/>
      <c r="V5" s="4"/>
      <c r="W5" s="4"/>
      <c r="X5" s="4"/>
      <c r="Y5" s="4"/>
      <c r="Z5" s="4"/>
      <c r="AA5" s="4"/>
      <c r="AB5" s="4"/>
      <c r="AC5" s="4"/>
      <c r="AD5" s="4"/>
      <c r="AE5" s="4"/>
      <c r="AF5" s="4"/>
      <c r="AG5" s="4"/>
      <c r="AH5" s="4"/>
      <c r="AI5" s="4"/>
      <c r="AJ5" s="4"/>
      <c r="AK5" s="4"/>
      <c r="AL5" s="4"/>
      <c r="AM5" s="4"/>
      <c r="AN5" s="4"/>
      <c r="AO5" s="4"/>
    </row>
    <row r="6" spans="1:41" s="5" customFormat="1" ht="67.5" customHeight="1" x14ac:dyDescent="0.25">
      <c r="A6" s="4"/>
      <c r="B6" s="28" t="s">
        <v>29</v>
      </c>
      <c r="C6" s="28" t="s">
        <v>30</v>
      </c>
      <c r="D6" s="6" t="s">
        <v>27</v>
      </c>
      <c r="E6" s="33"/>
      <c r="F6" s="33">
        <v>46205</v>
      </c>
      <c r="G6" s="56" t="s">
        <v>31</v>
      </c>
      <c r="H6" s="57">
        <v>4</v>
      </c>
      <c r="I6" s="35">
        <v>14000</v>
      </c>
      <c r="J6" s="58">
        <f t="shared" si="0"/>
        <v>56000</v>
      </c>
      <c r="K6" s="34">
        <v>0</v>
      </c>
      <c r="L6" s="35">
        <v>0</v>
      </c>
      <c r="M6" s="58">
        <f t="shared" si="1"/>
        <v>0</v>
      </c>
      <c r="N6" s="36">
        <v>0</v>
      </c>
      <c r="O6" s="36">
        <v>10000</v>
      </c>
      <c r="P6" s="59">
        <v>5000</v>
      </c>
      <c r="Q6" s="60">
        <v>71000</v>
      </c>
      <c r="R6" s="61">
        <v>66000</v>
      </c>
      <c r="S6" s="62">
        <f t="shared" si="2"/>
        <v>-5000</v>
      </c>
      <c r="T6" s="4"/>
      <c r="U6" s="4"/>
      <c r="V6" s="4"/>
      <c r="W6" s="4"/>
      <c r="X6" s="4"/>
      <c r="Y6" s="4"/>
      <c r="Z6" s="4"/>
      <c r="AA6" s="4"/>
      <c r="AB6" s="4"/>
      <c r="AC6" s="4"/>
      <c r="AD6" s="4"/>
      <c r="AE6" s="4"/>
      <c r="AF6" s="4"/>
      <c r="AG6" s="4"/>
      <c r="AH6" s="4"/>
      <c r="AI6" s="4"/>
      <c r="AJ6" s="4"/>
      <c r="AK6" s="4"/>
      <c r="AL6" s="4"/>
      <c r="AM6" s="4"/>
      <c r="AN6" s="4"/>
      <c r="AO6" s="4"/>
    </row>
    <row r="7" spans="1:41" s="5" customFormat="1" ht="52.5" customHeight="1" x14ac:dyDescent="0.25">
      <c r="A7" s="4"/>
      <c r="B7" s="28" t="s">
        <v>32</v>
      </c>
      <c r="C7" s="28" t="s">
        <v>33</v>
      </c>
      <c r="D7" s="6" t="s">
        <v>27</v>
      </c>
      <c r="E7" s="33"/>
      <c r="F7" s="33">
        <v>46205</v>
      </c>
      <c r="G7" s="56" t="s">
        <v>31</v>
      </c>
      <c r="H7" s="57">
        <v>5</v>
      </c>
      <c r="I7" s="35">
        <v>14000</v>
      </c>
      <c r="J7" s="58">
        <f t="shared" si="0"/>
        <v>70000</v>
      </c>
      <c r="K7" s="34">
        <v>0</v>
      </c>
      <c r="L7" s="35">
        <v>0</v>
      </c>
      <c r="M7" s="58">
        <f t="shared" si="1"/>
        <v>0</v>
      </c>
      <c r="N7" s="36">
        <v>0</v>
      </c>
      <c r="O7" s="36">
        <v>10000</v>
      </c>
      <c r="P7" s="59">
        <v>5000</v>
      </c>
      <c r="Q7" s="60">
        <v>85000</v>
      </c>
      <c r="R7" s="61">
        <v>81000</v>
      </c>
      <c r="S7" s="62">
        <f t="shared" si="2"/>
        <v>-4000</v>
      </c>
      <c r="T7" s="4"/>
      <c r="U7" s="4"/>
      <c r="V7" s="4"/>
      <c r="W7" s="4"/>
      <c r="X7" s="4"/>
      <c r="Y7" s="4"/>
      <c r="Z7" s="4"/>
      <c r="AA7" s="4"/>
      <c r="AB7" s="4"/>
      <c r="AC7" s="4"/>
      <c r="AD7" s="4"/>
      <c r="AE7" s="4"/>
      <c r="AF7" s="4"/>
      <c r="AG7" s="4"/>
      <c r="AH7" s="4"/>
      <c r="AI7" s="4"/>
      <c r="AJ7" s="4"/>
      <c r="AK7" s="4"/>
      <c r="AL7" s="4"/>
      <c r="AM7" s="4"/>
      <c r="AN7" s="4"/>
      <c r="AO7" s="4"/>
    </row>
    <row r="8" spans="1:41" s="5" customFormat="1" ht="48" customHeight="1" x14ac:dyDescent="0.25">
      <c r="A8" s="4"/>
      <c r="B8" s="28" t="s">
        <v>34</v>
      </c>
      <c r="C8" s="28" t="s">
        <v>35</v>
      </c>
      <c r="D8" s="6" t="s">
        <v>27</v>
      </c>
      <c r="E8" s="33"/>
      <c r="F8" s="33">
        <v>46205</v>
      </c>
      <c r="G8" s="56" t="s">
        <v>31</v>
      </c>
      <c r="H8" s="57">
        <v>3</v>
      </c>
      <c r="I8" s="35">
        <v>14000</v>
      </c>
      <c r="J8" s="58">
        <f t="shared" si="0"/>
        <v>42000</v>
      </c>
      <c r="K8" s="34">
        <v>0</v>
      </c>
      <c r="L8" s="35">
        <v>0</v>
      </c>
      <c r="M8" s="58">
        <f t="shared" si="1"/>
        <v>0</v>
      </c>
      <c r="N8" s="36">
        <v>0</v>
      </c>
      <c r="O8" s="36">
        <v>10000</v>
      </c>
      <c r="P8" s="59">
        <v>5000</v>
      </c>
      <c r="Q8" s="60">
        <v>57000</v>
      </c>
      <c r="R8" s="61">
        <v>54000</v>
      </c>
      <c r="S8" s="62">
        <f t="shared" si="2"/>
        <v>-3000</v>
      </c>
      <c r="T8" s="4"/>
      <c r="U8" s="4"/>
      <c r="V8" s="4"/>
      <c r="W8" s="4"/>
      <c r="X8" s="4"/>
      <c r="Y8" s="4"/>
      <c r="Z8" s="4"/>
      <c r="AA8" s="4"/>
      <c r="AB8" s="4"/>
      <c r="AC8" s="4"/>
      <c r="AD8" s="4"/>
      <c r="AE8" s="4"/>
      <c r="AF8" s="4"/>
      <c r="AG8" s="4"/>
      <c r="AH8" s="4"/>
      <c r="AI8" s="4"/>
      <c r="AJ8" s="4"/>
      <c r="AK8" s="4"/>
      <c r="AL8" s="4"/>
      <c r="AM8" s="4"/>
      <c r="AN8" s="4"/>
      <c r="AO8" s="4"/>
    </row>
    <row r="9" spans="1:41" s="5" customFormat="1" ht="60.75" customHeight="1" x14ac:dyDescent="0.25">
      <c r="A9" s="4"/>
      <c r="B9" s="28" t="s">
        <v>36</v>
      </c>
      <c r="C9" s="28" t="s">
        <v>37</v>
      </c>
      <c r="D9" s="6" t="s">
        <v>27</v>
      </c>
      <c r="E9" s="33"/>
      <c r="F9" s="33">
        <v>46205</v>
      </c>
      <c r="G9" s="56" t="s">
        <v>31</v>
      </c>
      <c r="H9" s="57">
        <v>4</v>
      </c>
      <c r="I9" s="35">
        <v>14000</v>
      </c>
      <c r="J9" s="58">
        <f t="shared" si="0"/>
        <v>56000</v>
      </c>
      <c r="K9" s="34">
        <v>0</v>
      </c>
      <c r="L9" s="35">
        <v>0</v>
      </c>
      <c r="M9" s="58">
        <f t="shared" si="1"/>
        <v>0</v>
      </c>
      <c r="N9" s="36">
        <v>0</v>
      </c>
      <c r="O9" s="36">
        <v>10000</v>
      </c>
      <c r="P9" s="59">
        <v>5000</v>
      </c>
      <c r="Q9" s="60">
        <v>71000</v>
      </c>
      <c r="R9" s="61">
        <v>71000</v>
      </c>
      <c r="S9" s="62">
        <f t="shared" si="2"/>
        <v>0</v>
      </c>
      <c r="T9" s="4"/>
      <c r="U9" s="4"/>
      <c r="V9" s="4"/>
      <c r="W9" s="4"/>
      <c r="X9" s="4"/>
      <c r="Y9" s="4"/>
      <c r="Z9" s="4"/>
      <c r="AA9" s="4"/>
      <c r="AB9" s="4"/>
      <c r="AC9" s="4"/>
      <c r="AD9" s="4"/>
      <c r="AE9" s="4"/>
      <c r="AF9" s="4"/>
      <c r="AG9" s="4"/>
      <c r="AH9" s="4"/>
      <c r="AI9" s="4"/>
      <c r="AJ9" s="4"/>
      <c r="AK9" s="4"/>
      <c r="AL9" s="4"/>
      <c r="AM9" s="4"/>
      <c r="AN9" s="4"/>
      <c r="AO9" s="4"/>
    </row>
    <row r="10" spans="1:41" s="5" customFormat="1" ht="57" customHeight="1" x14ac:dyDescent="0.25">
      <c r="A10" s="4"/>
      <c r="B10" s="28" t="s">
        <v>38</v>
      </c>
      <c r="C10" s="28" t="s">
        <v>39</v>
      </c>
      <c r="D10" s="6" t="s">
        <v>27</v>
      </c>
      <c r="E10" s="33"/>
      <c r="F10" s="33" t="s">
        <v>40</v>
      </c>
      <c r="G10" s="56" t="s">
        <v>31</v>
      </c>
      <c r="H10" s="57">
        <v>3</v>
      </c>
      <c r="I10" s="35">
        <v>14000</v>
      </c>
      <c r="J10" s="58">
        <f t="shared" si="0"/>
        <v>42000</v>
      </c>
      <c r="K10" s="34">
        <v>0</v>
      </c>
      <c r="L10" s="35">
        <v>0</v>
      </c>
      <c r="M10" s="58">
        <f t="shared" si="1"/>
        <v>0</v>
      </c>
      <c r="N10" s="36">
        <v>0</v>
      </c>
      <c r="O10" s="36">
        <v>10000</v>
      </c>
      <c r="P10" s="59">
        <v>5000</v>
      </c>
      <c r="Q10" s="60">
        <v>57000</v>
      </c>
      <c r="R10" s="61">
        <v>57000</v>
      </c>
      <c r="S10" s="62">
        <f t="shared" si="2"/>
        <v>0</v>
      </c>
      <c r="T10" s="4"/>
      <c r="U10" s="4"/>
      <c r="V10" s="4"/>
      <c r="W10" s="4"/>
      <c r="X10" s="4"/>
      <c r="Y10" s="4"/>
      <c r="Z10" s="4"/>
      <c r="AA10" s="4"/>
      <c r="AB10" s="4"/>
      <c r="AC10" s="4"/>
      <c r="AD10" s="4"/>
      <c r="AE10" s="4"/>
      <c r="AF10" s="4"/>
      <c r="AG10" s="4"/>
      <c r="AH10" s="4"/>
      <c r="AI10" s="4"/>
      <c r="AJ10" s="4"/>
      <c r="AK10" s="4"/>
      <c r="AL10" s="4"/>
      <c r="AM10" s="4"/>
      <c r="AN10" s="4"/>
      <c r="AO10" s="4"/>
    </row>
    <row r="11" spans="1:41" s="5" customFormat="1" ht="65.25" customHeight="1" x14ac:dyDescent="0.25">
      <c r="A11" s="4"/>
      <c r="B11" s="28" t="s">
        <v>41</v>
      </c>
      <c r="C11" s="28" t="s">
        <v>42</v>
      </c>
      <c r="D11" s="6" t="s">
        <v>27</v>
      </c>
      <c r="E11" s="33"/>
      <c r="F11" s="33" t="s">
        <v>40</v>
      </c>
      <c r="G11" s="56" t="s">
        <v>31</v>
      </c>
      <c r="H11" s="57">
        <v>3</v>
      </c>
      <c r="I11" s="35">
        <v>14000</v>
      </c>
      <c r="J11" s="58">
        <f t="shared" si="0"/>
        <v>42000</v>
      </c>
      <c r="K11" s="34">
        <v>0</v>
      </c>
      <c r="L11" s="35">
        <v>0</v>
      </c>
      <c r="M11" s="58">
        <f t="shared" si="1"/>
        <v>0</v>
      </c>
      <c r="N11" s="36">
        <v>0</v>
      </c>
      <c r="O11" s="36">
        <v>10000</v>
      </c>
      <c r="P11" s="59">
        <v>5000</v>
      </c>
      <c r="Q11" s="60">
        <v>57000</v>
      </c>
      <c r="R11" s="61">
        <v>58000</v>
      </c>
      <c r="S11" s="62">
        <f t="shared" si="2"/>
        <v>1000</v>
      </c>
      <c r="T11" s="4"/>
      <c r="U11" s="4"/>
      <c r="V11" s="4"/>
      <c r="W11" s="4"/>
      <c r="X11" s="4"/>
      <c r="Y11" s="4"/>
      <c r="Z11" s="4"/>
      <c r="AA11" s="4"/>
      <c r="AB11" s="4"/>
      <c r="AC11" s="4"/>
      <c r="AD11" s="4"/>
      <c r="AE11" s="4"/>
      <c r="AF11" s="4"/>
      <c r="AG11" s="4"/>
      <c r="AH11" s="4"/>
      <c r="AI11" s="4"/>
      <c r="AJ11" s="4"/>
      <c r="AK11" s="4"/>
      <c r="AL11" s="4"/>
      <c r="AM11" s="4"/>
      <c r="AN11" s="4"/>
      <c r="AO11" s="4"/>
    </row>
    <row r="12" spans="1:41" s="5" customFormat="1" ht="66" customHeight="1" x14ac:dyDescent="0.25">
      <c r="A12" s="4"/>
      <c r="B12" s="28" t="s">
        <v>43</v>
      </c>
      <c r="C12" s="28" t="s">
        <v>44</v>
      </c>
      <c r="D12" s="6" t="s">
        <v>27</v>
      </c>
      <c r="E12" s="33"/>
      <c r="F12" s="33" t="s">
        <v>40</v>
      </c>
      <c r="G12" s="56" t="s">
        <v>31</v>
      </c>
      <c r="H12" s="57">
        <v>6</v>
      </c>
      <c r="I12" s="35">
        <v>14000</v>
      </c>
      <c r="J12" s="58">
        <f t="shared" si="0"/>
        <v>84000</v>
      </c>
      <c r="K12" s="34">
        <v>0</v>
      </c>
      <c r="L12" s="35">
        <v>0</v>
      </c>
      <c r="M12" s="58">
        <f t="shared" si="1"/>
        <v>0</v>
      </c>
      <c r="N12" s="36">
        <v>0</v>
      </c>
      <c r="O12" s="36">
        <v>10000</v>
      </c>
      <c r="P12" s="59">
        <v>5000</v>
      </c>
      <c r="Q12" s="60">
        <v>99000</v>
      </c>
      <c r="R12" s="61">
        <v>92000</v>
      </c>
      <c r="S12" s="62">
        <f t="shared" si="2"/>
        <v>-7000</v>
      </c>
      <c r="T12" s="4"/>
      <c r="U12" s="4"/>
      <c r="V12" s="4"/>
      <c r="W12" s="4"/>
      <c r="X12" s="4"/>
      <c r="Y12" s="4"/>
      <c r="Z12" s="4"/>
      <c r="AA12" s="4"/>
      <c r="AB12" s="4"/>
      <c r="AC12" s="4"/>
      <c r="AD12" s="4"/>
      <c r="AE12" s="4"/>
      <c r="AF12" s="4"/>
      <c r="AG12" s="4"/>
      <c r="AH12" s="4"/>
      <c r="AI12" s="4"/>
      <c r="AJ12" s="4"/>
      <c r="AK12" s="4"/>
      <c r="AL12" s="4"/>
      <c r="AM12" s="4"/>
      <c r="AN12" s="4"/>
      <c r="AO12" s="4"/>
    </row>
    <row r="13" spans="1:41" s="5" customFormat="1" ht="69" customHeight="1" x14ac:dyDescent="0.25">
      <c r="A13" s="4"/>
      <c r="B13" s="28" t="s">
        <v>45</v>
      </c>
      <c r="C13" s="28" t="s">
        <v>46</v>
      </c>
      <c r="D13" s="6" t="s">
        <v>27</v>
      </c>
      <c r="E13" s="33"/>
      <c r="F13" s="33" t="s">
        <v>40</v>
      </c>
      <c r="G13" s="56" t="s">
        <v>31</v>
      </c>
      <c r="H13" s="57">
        <v>3</v>
      </c>
      <c r="I13" s="35">
        <v>14000</v>
      </c>
      <c r="J13" s="58">
        <f t="shared" si="0"/>
        <v>42000</v>
      </c>
      <c r="K13" s="34">
        <v>0</v>
      </c>
      <c r="L13" s="35">
        <v>0</v>
      </c>
      <c r="M13" s="58">
        <f t="shared" si="1"/>
        <v>0</v>
      </c>
      <c r="N13" s="36">
        <v>0</v>
      </c>
      <c r="O13" s="36">
        <v>10000</v>
      </c>
      <c r="P13" s="59">
        <v>5000</v>
      </c>
      <c r="Q13" s="60">
        <v>57000</v>
      </c>
      <c r="R13" s="61">
        <v>55000</v>
      </c>
      <c r="S13" s="62">
        <f t="shared" si="2"/>
        <v>-2000</v>
      </c>
      <c r="T13" s="4"/>
      <c r="U13" s="4"/>
      <c r="V13" s="4"/>
      <c r="W13" s="4"/>
      <c r="X13" s="4"/>
      <c r="Y13" s="4"/>
      <c r="Z13" s="4"/>
      <c r="AA13" s="4"/>
      <c r="AB13" s="4"/>
      <c r="AC13" s="4"/>
      <c r="AD13" s="4"/>
      <c r="AE13" s="4"/>
      <c r="AF13" s="4"/>
      <c r="AG13" s="4"/>
      <c r="AH13" s="4"/>
      <c r="AI13" s="4"/>
      <c r="AJ13" s="4"/>
      <c r="AK13" s="4"/>
      <c r="AL13" s="4"/>
      <c r="AM13" s="4"/>
      <c r="AN13" s="4"/>
      <c r="AO13" s="4"/>
    </row>
    <row r="14" spans="1:41" s="5" customFormat="1" ht="30" customHeight="1" x14ac:dyDescent="0.25">
      <c r="A14" s="4"/>
      <c r="B14" s="28" t="s">
        <v>47</v>
      </c>
      <c r="C14" s="28" t="s">
        <v>48</v>
      </c>
      <c r="D14" s="6" t="s">
        <v>27</v>
      </c>
      <c r="E14" s="33"/>
      <c r="F14" s="33" t="s">
        <v>40</v>
      </c>
      <c r="G14" s="56" t="s">
        <v>31</v>
      </c>
      <c r="H14" s="57">
        <v>4</v>
      </c>
      <c r="I14" s="35">
        <v>14000</v>
      </c>
      <c r="J14" s="58">
        <f t="shared" si="0"/>
        <v>56000</v>
      </c>
      <c r="K14" s="34">
        <v>0</v>
      </c>
      <c r="L14" s="35">
        <v>0</v>
      </c>
      <c r="M14" s="58">
        <f t="shared" si="1"/>
        <v>0</v>
      </c>
      <c r="N14" s="36">
        <v>0</v>
      </c>
      <c r="O14" s="36">
        <v>10000</v>
      </c>
      <c r="P14" s="59">
        <v>5000</v>
      </c>
      <c r="Q14" s="60">
        <v>71000</v>
      </c>
      <c r="R14" s="61">
        <v>66000</v>
      </c>
      <c r="S14" s="62">
        <f t="shared" si="2"/>
        <v>-5000</v>
      </c>
      <c r="T14" s="4"/>
      <c r="U14" s="4"/>
      <c r="V14" s="4"/>
      <c r="W14" s="4"/>
      <c r="X14" s="4"/>
      <c r="Y14" s="4"/>
      <c r="Z14" s="4"/>
      <c r="AA14" s="4"/>
      <c r="AB14" s="4"/>
      <c r="AC14" s="4"/>
      <c r="AD14" s="4"/>
      <c r="AE14" s="4"/>
      <c r="AF14" s="4"/>
      <c r="AG14" s="4"/>
      <c r="AH14" s="4"/>
      <c r="AI14" s="4"/>
      <c r="AJ14" s="4"/>
      <c r="AK14" s="4"/>
      <c r="AL14" s="4"/>
      <c r="AM14" s="4"/>
      <c r="AN14" s="4"/>
      <c r="AO14" s="4"/>
    </row>
    <row r="15" spans="1:41" s="5" customFormat="1" ht="21.75" customHeight="1" x14ac:dyDescent="0.25">
      <c r="A15" s="4"/>
      <c r="B15" s="28" t="s">
        <v>49</v>
      </c>
      <c r="C15" s="28" t="s">
        <v>50</v>
      </c>
      <c r="D15" s="6" t="s">
        <v>27</v>
      </c>
      <c r="E15" s="33"/>
      <c r="F15" s="33" t="s">
        <v>51</v>
      </c>
      <c r="G15" s="56" t="s">
        <v>31</v>
      </c>
      <c r="H15" s="57">
        <v>6</v>
      </c>
      <c r="I15" s="35">
        <v>14000</v>
      </c>
      <c r="J15" s="58">
        <f t="shared" si="0"/>
        <v>84000</v>
      </c>
      <c r="K15" s="34">
        <v>0</v>
      </c>
      <c r="L15" s="35">
        <v>0</v>
      </c>
      <c r="M15" s="58">
        <f t="shared" si="1"/>
        <v>0</v>
      </c>
      <c r="N15" s="36">
        <v>0</v>
      </c>
      <c r="O15" s="36">
        <v>10000</v>
      </c>
      <c r="P15" s="59">
        <v>5000</v>
      </c>
      <c r="Q15" s="60">
        <v>99000</v>
      </c>
      <c r="R15" s="61">
        <v>93000</v>
      </c>
      <c r="S15" s="62">
        <f t="shared" si="2"/>
        <v>-6000</v>
      </c>
      <c r="T15" s="4"/>
      <c r="U15" s="4"/>
      <c r="V15" s="4"/>
      <c r="W15" s="4"/>
      <c r="X15" s="4"/>
      <c r="Y15" s="4"/>
      <c r="Z15" s="4"/>
      <c r="AA15" s="4"/>
      <c r="AB15" s="4"/>
      <c r="AC15" s="4"/>
      <c r="AD15" s="4"/>
      <c r="AE15" s="4"/>
      <c r="AF15" s="4"/>
      <c r="AG15" s="4"/>
      <c r="AH15" s="4"/>
      <c r="AI15" s="4"/>
      <c r="AJ15" s="4"/>
      <c r="AK15" s="4"/>
      <c r="AL15" s="4"/>
      <c r="AM15" s="4"/>
      <c r="AN15" s="4"/>
      <c r="AO15" s="4"/>
    </row>
    <row r="16" spans="1:41" s="1" customFormat="1" ht="21" customHeight="1" x14ac:dyDescent="0.25">
      <c r="B16" s="28" t="s">
        <v>52</v>
      </c>
      <c r="C16" s="28" t="s">
        <v>53</v>
      </c>
      <c r="D16" s="6" t="s">
        <v>27</v>
      </c>
      <c r="E16" s="33"/>
      <c r="F16" s="33" t="s">
        <v>51</v>
      </c>
      <c r="G16" s="56" t="s">
        <v>31</v>
      </c>
      <c r="H16" s="57">
        <v>8</v>
      </c>
      <c r="I16" s="35">
        <v>14000</v>
      </c>
      <c r="J16" s="58">
        <f t="shared" si="0"/>
        <v>112000</v>
      </c>
      <c r="K16" s="34">
        <v>0</v>
      </c>
      <c r="L16" s="35">
        <v>0</v>
      </c>
      <c r="M16" s="58">
        <f t="shared" si="1"/>
        <v>0</v>
      </c>
      <c r="N16" s="36">
        <v>0</v>
      </c>
      <c r="O16" s="36">
        <v>10000</v>
      </c>
      <c r="P16" s="59">
        <v>5000</v>
      </c>
      <c r="Q16" s="60">
        <v>127000</v>
      </c>
      <c r="R16" s="61">
        <v>124000</v>
      </c>
      <c r="S16" s="62">
        <f t="shared" si="2"/>
        <v>-3000</v>
      </c>
    </row>
    <row r="17" spans="1:41" ht="24.75" customHeight="1" x14ac:dyDescent="0.25">
      <c r="A17" s="1"/>
      <c r="B17" s="28" t="s">
        <v>54</v>
      </c>
      <c r="C17" s="28" t="s">
        <v>55</v>
      </c>
      <c r="D17" s="6" t="s">
        <v>27</v>
      </c>
      <c r="E17" s="33"/>
      <c r="F17" s="33" t="s">
        <v>51</v>
      </c>
      <c r="G17" s="56" t="s">
        <v>31</v>
      </c>
      <c r="H17" s="57">
        <v>6</v>
      </c>
      <c r="I17" s="35">
        <v>14000</v>
      </c>
      <c r="J17" s="58">
        <f t="shared" si="0"/>
        <v>84000</v>
      </c>
      <c r="K17" s="34">
        <v>0</v>
      </c>
      <c r="L17" s="35">
        <v>0</v>
      </c>
      <c r="M17" s="58">
        <f t="shared" si="1"/>
        <v>0</v>
      </c>
      <c r="N17" s="36">
        <v>0</v>
      </c>
      <c r="O17" s="36">
        <v>10000</v>
      </c>
      <c r="P17" s="59">
        <v>5000</v>
      </c>
      <c r="Q17" s="60">
        <v>99000</v>
      </c>
      <c r="R17" s="61">
        <v>91000</v>
      </c>
      <c r="S17" s="62">
        <f t="shared" si="2"/>
        <v>-8000</v>
      </c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1"/>
      <c r="AL17" s="1"/>
      <c r="AM17" s="1"/>
      <c r="AN17" s="1"/>
      <c r="AO17" s="1"/>
    </row>
    <row r="18" spans="1:41" ht="24.75" customHeight="1" x14ac:dyDescent="0.25">
      <c r="A18" s="1"/>
      <c r="B18" s="28" t="s">
        <v>56</v>
      </c>
      <c r="C18" s="28" t="s">
        <v>57</v>
      </c>
      <c r="D18" s="6" t="s">
        <v>27</v>
      </c>
      <c r="E18" s="33"/>
      <c r="F18" s="33" t="s">
        <v>51</v>
      </c>
      <c r="G18" s="56" t="s">
        <v>31</v>
      </c>
      <c r="H18" s="57">
        <v>5</v>
      </c>
      <c r="I18" s="35">
        <v>14000</v>
      </c>
      <c r="J18" s="58">
        <f t="shared" si="0"/>
        <v>70000</v>
      </c>
      <c r="K18" s="34">
        <v>0</v>
      </c>
      <c r="L18" s="35">
        <v>0</v>
      </c>
      <c r="M18" s="58">
        <f t="shared" si="1"/>
        <v>0</v>
      </c>
      <c r="N18" s="36">
        <v>0</v>
      </c>
      <c r="O18" s="36">
        <v>10000</v>
      </c>
      <c r="P18" s="59">
        <v>5000</v>
      </c>
      <c r="Q18" s="60">
        <v>85000</v>
      </c>
      <c r="R18" s="61">
        <v>80000</v>
      </c>
      <c r="S18" s="62">
        <f t="shared" si="2"/>
        <v>-5000</v>
      </c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/>
      <c r="AL18" s="1"/>
      <c r="AM18" s="1"/>
      <c r="AN18" s="1"/>
      <c r="AO18" s="1"/>
    </row>
    <row r="19" spans="1:41" ht="24.75" customHeight="1" x14ac:dyDescent="0.25">
      <c r="A19" s="1"/>
      <c r="B19" s="28" t="s">
        <v>58</v>
      </c>
      <c r="C19" s="28" t="s">
        <v>59</v>
      </c>
      <c r="D19" s="6" t="s">
        <v>27</v>
      </c>
      <c r="E19" s="33"/>
      <c r="F19" s="33" t="s">
        <v>51</v>
      </c>
      <c r="G19" s="56" t="s">
        <v>31</v>
      </c>
      <c r="H19" s="57">
        <v>4</v>
      </c>
      <c r="I19" s="35">
        <v>14000</v>
      </c>
      <c r="J19" s="58">
        <f t="shared" si="0"/>
        <v>56000</v>
      </c>
      <c r="K19" s="34">
        <v>0</v>
      </c>
      <c r="L19" s="35">
        <v>0</v>
      </c>
      <c r="M19" s="58">
        <f t="shared" si="1"/>
        <v>0</v>
      </c>
      <c r="N19" s="36">
        <v>0</v>
      </c>
      <c r="O19" s="36">
        <v>10000</v>
      </c>
      <c r="P19" s="59">
        <v>5000</v>
      </c>
      <c r="Q19" s="60">
        <v>71000</v>
      </c>
      <c r="R19" s="61">
        <v>70000</v>
      </c>
      <c r="S19" s="62">
        <f t="shared" si="2"/>
        <v>-1000</v>
      </c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  <c r="AM19" s="1"/>
      <c r="AN19" s="1"/>
      <c r="AO19" s="1"/>
    </row>
    <row r="20" spans="1:41" ht="24.75" customHeight="1" x14ac:dyDescent="0.25">
      <c r="A20" s="1"/>
      <c r="B20" s="28" t="s">
        <v>60</v>
      </c>
      <c r="C20" s="28" t="s">
        <v>61</v>
      </c>
      <c r="D20" s="6" t="s">
        <v>27</v>
      </c>
      <c r="E20" s="33"/>
      <c r="F20" s="33" t="s">
        <v>62</v>
      </c>
      <c r="G20" s="56" t="s">
        <v>31</v>
      </c>
      <c r="H20" s="57">
        <v>4</v>
      </c>
      <c r="I20" s="35">
        <v>14000</v>
      </c>
      <c r="J20" s="58">
        <f t="shared" si="0"/>
        <v>56000</v>
      </c>
      <c r="K20" s="34">
        <v>0</v>
      </c>
      <c r="L20" s="35">
        <v>0</v>
      </c>
      <c r="M20" s="58">
        <f t="shared" si="1"/>
        <v>0</v>
      </c>
      <c r="N20" s="36">
        <v>0</v>
      </c>
      <c r="O20" s="36">
        <v>10000</v>
      </c>
      <c r="P20" s="59">
        <v>5000</v>
      </c>
      <c r="Q20" s="60">
        <v>71000</v>
      </c>
      <c r="R20" s="61">
        <v>70000</v>
      </c>
      <c r="S20" s="62">
        <f t="shared" si="2"/>
        <v>-1000</v>
      </c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1"/>
      <c r="AM20" s="1"/>
      <c r="AN20" s="1"/>
      <c r="AO20" s="1"/>
    </row>
    <row r="21" spans="1:41" ht="24.75" customHeight="1" x14ac:dyDescent="0.25">
      <c r="A21" s="1"/>
      <c r="B21" s="28" t="s">
        <v>63</v>
      </c>
      <c r="C21" s="28" t="s">
        <v>64</v>
      </c>
      <c r="D21" s="6" t="s">
        <v>27</v>
      </c>
      <c r="E21" s="33"/>
      <c r="F21" s="33" t="s">
        <v>62</v>
      </c>
      <c r="G21" s="56" t="s">
        <v>31</v>
      </c>
      <c r="H21" s="57">
        <v>5</v>
      </c>
      <c r="I21" s="35">
        <v>20000</v>
      </c>
      <c r="J21" s="58">
        <f t="shared" si="0"/>
        <v>100000</v>
      </c>
      <c r="K21" s="34">
        <v>0</v>
      </c>
      <c r="L21" s="35">
        <v>0</v>
      </c>
      <c r="M21" s="58">
        <f t="shared" si="1"/>
        <v>0</v>
      </c>
      <c r="N21" s="36">
        <v>0</v>
      </c>
      <c r="O21" s="36">
        <v>12000</v>
      </c>
      <c r="P21" s="59">
        <v>5000</v>
      </c>
      <c r="Q21" s="60">
        <v>117000</v>
      </c>
      <c r="R21" s="61">
        <v>110000</v>
      </c>
      <c r="S21" s="62">
        <f t="shared" si="2"/>
        <v>-7000</v>
      </c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1"/>
      <c r="AL21" s="1"/>
      <c r="AM21" s="1"/>
      <c r="AN21" s="1"/>
      <c r="AO21" s="1"/>
    </row>
    <row r="22" spans="1:41" ht="24.75" customHeight="1" x14ac:dyDescent="0.25">
      <c r="A22" s="1"/>
      <c r="B22" s="28" t="s">
        <v>65</v>
      </c>
      <c r="C22" s="28" t="s">
        <v>66</v>
      </c>
      <c r="D22" s="6" t="s">
        <v>27</v>
      </c>
      <c r="E22" s="33"/>
      <c r="F22" s="33" t="s">
        <v>62</v>
      </c>
      <c r="G22" s="56" t="s">
        <v>31</v>
      </c>
      <c r="H22" s="57">
        <v>4</v>
      </c>
      <c r="I22" s="35">
        <v>20000</v>
      </c>
      <c r="J22" s="58">
        <f t="shared" si="0"/>
        <v>80000</v>
      </c>
      <c r="K22" s="34">
        <v>0</v>
      </c>
      <c r="L22" s="35">
        <v>0</v>
      </c>
      <c r="M22" s="58">
        <f t="shared" si="1"/>
        <v>0</v>
      </c>
      <c r="N22" s="36">
        <v>0</v>
      </c>
      <c r="O22" s="36">
        <v>12000</v>
      </c>
      <c r="P22" s="59">
        <v>5000</v>
      </c>
      <c r="Q22" s="60">
        <v>97000</v>
      </c>
      <c r="R22" s="61">
        <v>96000</v>
      </c>
      <c r="S22" s="62">
        <f t="shared" si="2"/>
        <v>-1000</v>
      </c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1"/>
      <c r="AJ22" s="1"/>
      <c r="AK22" s="1"/>
      <c r="AL22" s="1"/>
      <c r="AM22" s="1"/>
      <c r="AN22" s="1"/>
      <c r="AO22" s="1"/>
    </row>
    <row r="23" spans="1:41" ht="24.75" customHeight="1" x14ac:dyDescent="0.25">
      <c r="A23" s="1"/>
      <c r="B23" s="28" t="s">
        <v>67</v>
      </c>
      <c r="C23" s="28" t="s">
        <v>68</v>
      </c>
      <c r="D23" s="6" t="s">
        <v>27</v>
      </c>
      <c r="E23" s="33"/>
      <c r="F23" s="33" t="s">
        <v>62</v>
      </c>
      <c r="G23" s="56" t="s">
        <v>31</v>
      </c>
      <c r="H23" s="57">
        <v>3</v>
      </c>
      <c r="I23" s="35">
        <v>20000</v>
      </c>
      <c r="J23" s="58">
        <f t="shared" si="0"/>
        <v>60000</v>
      </c>
      <c r="K23" s="34">
        <v>0</v>
      </c>
      <c r="L23" s="35">
        <v>0</v>
      </c>
      <c r="M23" s="58">
        <f t="shared" si="1"/>
        <v>0</v>
      </c>
      <c r="N23" s="36">
        <v>0</v>
      </c>
      <c r="O23" s="36">
        <v>12000</v>
      </c>
      <c r="P23" s="59">
        <v>5000</v>
      </c>
      <c r="Q23" s="60">
        <v>77000</v>
      </c>
      <c r="R23" s="61">
        <v>78000</v>
      </c>
      <c r="S23" s="62">
        <f t="shared" si="2"/>
        <v>1000</v>
      </c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1"/>
      <c r="AI23" s="1"/>
      <c r="AJ23" s="1"/>
      <c r="AK23" s="1"/>
      <c r="AL23" s="1"/>
      <c r="AM23" s="1"/>
      <c r="AN23" s="1"/>
      <c r="AO23" s="1"/>
    </row>
    <row r="24" spans="1:41" ht="24.75" customHeight="1" x14ac:dyDescent="0.25">
      <c r="A24" s="1"/>
      <c r="B24" s="28" t="s">
        <v>69</v>
      </c>
      <c r="C24" s="28" t="s">
        <v>70</v>
      </c>
      <c r="D24" s="6" t="s">
        <v>27</v>
      </c>
      <c r="E24" s="33"/>
      <c r="F24" s="33" t="s">
        <v>31</v>
      </c>
      <c r="G24" s="56" t="s">
        <v>31</v>
      </c>
      <c r="H24" s="57">
        <v>4</v>
      </c>
      <c r="I24" s="35">
        <v>20000</v>
      </c>
      <c r="J24" s="58">
        <f t="shared" si="0"/>
        <v>80000</v>
      </c>
      <c r="K24" s="34">
        <v>0</v>
      </c>
      <c r="L24" s="35">
        <v>0</v>
      </c>
      <c r="M24" s="58">
        <f t="shared" si="1"/>
        <v>0</v>
      </c>
      <c r="N24" s="36">
        <v>0</v>
      </c>
      <c r="O24" s="36">
        <v>12000</v>
      </c>
      <c r="P24" s="59">
        <v>5000</v>
      </c>
      <c r="Q24" s="60">
        <v>97000</v>
      </c>
      <c r="R24" s="61">
        <v>89000</v>
      </c>
      <c r="S24" s="62">
        <f t="shared" si="2"/>
        <v>-8000</v>
      </c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/>
      <c r="AI24" s="1"/>
      <c r="AJ24" s="1"/>
      <c r="AK24" s="1"/>
      <c r="AL24" s="1"/>
      <c r="AM24" s="1"/>
      <c r="AN24" s="1"/>
      <c r="AO24" s="1"/>
    </row>
    <row r="25" spans="1:41" ht="24.75" customHeight="1" x14ac:dyDescent="0.25">
      <c r="A25" s="1"/>
      <c r="B25" s="28" t="s">
        <v>71</v>
      </c>
      <c r="C25" s="28" t="s">
        <v>72</v>
      </c>
      <c r="D25" s="6" t="s">
        <v>73</v>
      </c>
      <c r="E25" s="33"/>
      <c r="F25" s="33" t="s">
        <v>74</v>
      </c>
      <c r="G25" s="56">
        <v>46116</v>
      </c>
      <c r="H25" s="57">
        <v>4</v>
      </c>
      <c r="I25" s="35">
        <v>20000</v>
      </c>
      <c r="J25" s="58">
        <f t="shared" si="0"/>
        <v>80000</v>
      </c>
      <c r="K25" s="34">
        <v>0</v>
      </c>
      <c r="L25" s="35">
        <v>0</v>
      </c>
      <c r="M25" s="58">
        <f t="shared" si="1"/>
        <v>0</v>
      </c>
      <c r="N25" s="36">
        <v>0</v>
      </c>
      <c r="O25" s="36">
        <v>12000</v>
      </c>
      <c r="P25" s="59">
        <v>5000</v>
      </c>
      <c r="Q25" s="60">
        <v>97000</v>
      </c>
      <c r="R25" s="61"/>
      <c r="S25" s="62">
        <f t="shared" si="2"/>
        <v>-97000</v>
      </c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/>
      <c r="AI25" s="1"/>
      <c r="AJ25" s="1"/>
      <c r="AK25" s="1"/>
      <c r="AL25" s="1"/>
      <c r="AM25" s="1"/>
      <c r="AN25" s="1"/>
      <c r="AO25" s="1"/>
    </row>
    <row r="26" spans="1:41" ht="36.75" customHeight="1" x14ac:dyDescent="0.25">
      <c r="A26" s="1"/>
      <c r="B26" s="28" t="s">
        <v>75</v>
      </c>
      <c r="C26" s="28" t="s">
        <v>76</v>
      </c>
      <c r="D26" s="6" t="s">
        <v>73</v>
      </c>
      <c r="E26" s="33"/>
      <c r="F26" s="33" t="s">
        <v>74</v>
      </c>
      <c r="G26" s="56">
        <v>46116</v>
      </c>
      <c r="H26" s="57">
        <v>3</v>
      </c>
      <c r="I26" s="35">
        <v>20000</v>
      </c>
      <c r="J26" s="58">
        <f t="shared" si="0"/>
        <v>60000</v>
      </c>
      <c r="K26" s="34">
        <v>0</v>
      </c>
      <c r="L26" s="35">
        <v>0</v>
      </c>
      <c r="M26" s="58">
        <f t="shared" si="1"/>
        <v>0</v>
      </c>
      <c r="N26" s="36">
        <v>0</v>
      </c>
      <c r="O26" s="36">
        <v>12000</v>
      </c>
      <c r="P26" s="59">
        <v>5000</v>
      </c>
      <c r="Q26" s="60">
        <v>77000</v>
      </c>
      <c r="R26" s="61"/>
      <c r="S26" s="62">
        <f t="shared" si="2"/>
        <v>-77000</v>
      </c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</row>
    <row r="27" spans="1:41" ht="24.75" customHeight="1" x14ac:dyDescent="0.25">
      <c r="A27" s="1"/>
      <c r="B27" s="28" t="s">
        <v>77</v>
      </c>
      <c r="C27" s="28" t="s">
        <v>78</v>
      </c>
      <c r="D27" s="6" t="s">
        <v>73</v>
      </c>
      <c r="E27" s="33"/>
      <c r="F27" s="33" t="s">
        <v>74</v>
      </c>
      <c r="G27" s="56">
        <v>46116</v>
      </c>
      <c r="H27" s="57">
        <v>3</v>
      </c>
      <c r="I27" s="35">
        <v>20000</v>
      </c>
      <c r="J27" s="58">
        <f t="shared" si="0"/>
        <v>60000</v>
      </c>
      <c r="K27" s="34">
        <v>0</v>
      </c>
      <c r="L27" s="35">
        <v>0</v>
      </c>
      <c r="M27" s="58">
        <f t="shared" si="1"/>
        <v>0</v>
      </c>
      <c r="N27" s="36">
        <v>0</v>
      </c>
      <c r="O27" s="36">
        <v>12000</v>
      </c>
      <c r="P27" s="59">
        <v>5000</v>
      </c>
      <c r="Q27" s="60">
        <v>77000</v>
      </c>
      <c r="R27" s="61"/>
      <c r="S27" s="62">
        <f t="shared" si="2"/>
        <v>-77000</v>
      </c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/>
      <c r="AL27" s="1"/>
      <c r="AM27" s="1"/>
      <c r="AN27" s="1"/>
      <c r="AO27" s="1"/>
    </row>
    <row r="28" spans="1:41" ht="24.75" customHeight="1" x14ac:dyDescent="0.25">
      <c r="A28" s="1"/>
      <c r="B28" s="28" t="s">
        <v>79</v>
      </c>
      <c r="C28" s="28" t="s">
        <v>80</v>
      </c>
      <c r="D28" s="6" t="s">
        <v>73</v>
      </c>
      <c r="E28" s="33"/>
      <c r="F28" s="33" t="s">
        <v>74</v>
      </c>
      <c r="G28" s="56">
        <v>46116</v>
      </c>
      <c r="H28" s="57">
        <v>5</v>
      </c>
      <c r="I28" s="35">
        <v>20000</v>
      </c>
      <c r="J28" s="58">
        <f t="shared" si="0"/>
        <v>100000</v>
      </c>
      <c r="K28" s="34">
        <v>0</v>
      </c>
      <c r="L28" s="35">
        <v>0</v>
      </c>
      <c r="M28" s="58">
        <f t="shared" si="1"/>
        <v>0</v>
      </c>
      <c r="N28" s="36">
        <v>0</v>
      </c>
      <c r="O28" s="36">
        <v>12000</v>
      </c>
      <c r="P28" s="59">
        <v>5000</v>
      </c>
      <c r="Q28" s="60">
        <v>117000</v>
      </c>
      <c r="R28" s="61"/>
      <c r="S28" s="62">
        <f t="shared" si="2"/>
        <v>-117000</v>
      </c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1"/>
      <c r="AL28" s="1"/>
      <c r="AM28" s="1"/>
      <c r="AN28" s="1"/>
      <c r="AO28" s="1"/>
    </row>
    <row r="29" spans="1:41" ht="24.75" customHeight="1" x14ac:dyDescent="0.25">
      <c r="A29" s="1"/>
      <c r="B29" s="28" t="s">
        <v>81</v>
      </c>
      <c r="C29" s="28" t="s">
        <v>82</v>
      </c>
      <c r="D29" s="6" t="s">
        <v>73</v>
      </c>
      <c r="E29" s="33"/>
      <c r="F29" s="33" t="s">
        <v>74</v>
      </c>
      <c r="G29" s="56">
        <v>46116</v>
      </c>
      <c r="H29" s="57">
        <v>6</v>
      </c>
      <c r="I29" s="35">
        <v>20000</v>
      </c>
      <c r="J29" s="58">
        <f t="shared" si="0"/>
        <v>120000</v>
      </c>
      <c r="K29" s="34">
        <v>0</v>
      </c>
      <c r="L29" s="35">
        <v>0</v>
      </c>
      <c r="M29" s="58">
        <f t="shared" si="1"/>
        <v>0</v>
      </c>
      <c r="N29" s="36">
        <v>0</v>
      </c>
      <c r="O29" s="36">
        <v>12000</v>
      </c>
      <c r="P29" s="59">
        <v>5000</v>
      </c>
      <c r="Q29" s="60">
        <v>137000</v>
      </c>
      <c r="R29" s="61"/>
      <c r="S29" s="62">
        <f t="shared" si="2"/>
        <v>-137000</v>
      </c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  <c r="AL29" s="1"/>
      <c r="AM29" s="1"/>
      <c r="AN29" s="1"/>
      <c r="AO29" s="1"/>
    </row>
    <row r="30" spans="1:41" ht="24.75" customHeight="1" x14ac:dyDescent="0.25">
      <c r="A30" s="1"/>
      <c r="B30" s="28" t="s">
        <v>83</v>
      </c>
      <c r="C30" s="28" t="s">
        <v>84</v>
      </c>
      <c r="D30" s="6" t="s">
        <v>73</v>
      </c>
      <c r="E30" s="33"/>
      <c r="F30" s="33">
        <v>46116</v>
      </c>
      <c r="G30" s="56" t="s">
        <v>85</v>
      </c>
      <c r="H30" s="57">
        <v>5</v>
      </c>
      <c r="I30" s="35">
        <v>20000</v>
      </c>
      <c r="J30" s="58">
        <f t="shared" si="0"/>
        <v>100000</v>
      </c>
      <c r="K30" s="34">
        <v>0</v>
      </c>
      <c r="L30" s="35">
        <v>0</v>
      </c>
      <c r="M30" s="58">
        <f t="shared" si="1"/>
        <v>0</v>
      </c>
      <c r="N30" s="36">
        <v>0</v>
      </c>
      <c r="O30" s="36">
        <v>12000</v>
      </c>
      <c r="P30" s="59">
        <v>5000</v>
      </c>
      <c r="Q30" s="60">
        <v>117000</v>
      </c>
      <c r="R30" s="61"/>
      <c r="S30" s="62">
        <f t="shared" si="2"/>
        <v>-117000</v>
      </c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/>
      <c r="AL30" s="1"/>
      <c r="AM30" s="1"/>
      <c r="AN30" s="1"/>
      <c r="AO30" s="1"/>
    </row>
    <row r="31" spans="1:41" ht="24.75" customHeight="1" x14ac:dyDescent="0.25">
      <c r="A31" s="1"/>
      <c r="B31" s="28" t="s">
        <v>86</v>
      </c>
      <c r="C31" s="28" t="s">
        <v>87</v>
      </c>
      <c r="D31" s="6" t="s">
        <v>73</v>
      </c>
      <c r="E31" s="33"/>
      <c r="F31" s="33">
        <v>46116</v>
      </c>
      <c r="G31" s="56" t="s">
        <v>85</v>
      </c>
      <c r="H31" s="57">
        <v>6</v>
      </c>
      <c r="I31" s="35">
        <v>20000</v>
      </c>
      <c r="J31" s="58">
        <f t="shared" si="0"/>
        <v>120000</v>
      </c>
      <c r="K31" s="34">
        <v>0</v>
      </c>
      <c r="L31" s="35">
        <v>0</v>
      </c>
      <c r="M31" s="58">
        <f t="shared" si="1"/>
        <v>0</v>
      </c>
      <c r="N31" s="36">
        <v>0</v>
      </c>
      <c r="O31" s="36">
        <v>12000</v>
      </c>
      <c r="P31" s="59">
        <v>5000</v>
      </c>
      <c r="Q31" s="60">
        <v>137000</v>
      </c>
      <c r="R31" s="61"/>
      <c r="S31" s="62">
        <f t="shared" si="2"/>
        <v>-137000</v>
      </c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  <c r="AL31" s="1"/>
      <c r="AM31" s="1"/>
      <c r="AN31" s="1"/>
      <c r="AO31" s="1"/>
    </row>
    <row r="32" spans="1:41" ht="24.75" customHeight="1" x14ac:dyDescent="0.25">
      <c r="A32" s="1"/>
      <c r="B32" s="28" t="s">
        <v>88</v>
      </c>
      <c r="C32" s="28" t="s">
        <v>89</v>
      </c>
      <c r="D32" s="6" t="s">
        <v>73</v>
      </c>
      <c r="E32" s="33"/>
      <c r="F32" s="33">
        <v>46116</v>
      </c>
      <c r="G32" s="56" t="s">
        <v>85</v>
      </c>
      <c r="H32" s="57">
        <v>6</v>
      </c>
      <c r="I32" s="35">
        <v>20000</v>
      </c>
      <c r="J32" s="58">
        <f t="shared" si="0"/>
        <v>120000</v>
      </c>
      <c r="K32" s="34">
        <v>0</v>
      </c>
      <c r="L32" s="35">
        <v>0</v>
      </c>
      <c r="M32" s="58">
        <f t="shared" si="1"/>
        <v>0</v>
      </c>
      <c r="N32" s="36">
        <v>0</v>
      </c>
      <c r="O32" s="36">
        <v>12000</v>
      </c>
      <c r="P32" s="59">
        <v>5000</v>
      </c>
      <c r="Q32" s="60">
        <v>137000</v>
      </c>
      <c r="R32" s="61"/>
      <c r="S32" s="62">
        <f t="shared" si="2"/>
        <v>-137000</v>
      </c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/>
      <c r="AL32" s="1"/>
      <c r="AM32" s="1"/>
      <c r="AN32" s="1"/>
      <c r="AO32" s="1"/>
    </row>
    <row r="33" spans="1:41" ht="24.75" customHeight="1" x14ac:dyDescent="0.25">
      <c r="A33" s="1"/>
      <c r="B33" s="28" t="s">
        <v>90</v>
      </c>
      <c r="C33" s="28" t="s">
        <v>91</v>
      </c>
      <c r="D33" s="65" t="s">
        <v>27</v>
      </c>
      <c r="E33" s="33"/>
      <c r="F33" s="33">
        <v>46116</v>
      </c>
      <c r="G33" s="56" t="s">
        <v>85</v>
      </c>
      <c r="H33" s="57">
        <v>5</v>
      </c>
      <c r="I33" s="35">
        <v>20000</v>
      </c>
      <c r="J33" s="58">
        <f t="shared" si="0"/>
        <v>100000</v>
      </c>
      <c r="K33" s="34">
        <v>0</v>
      </c>
      <c r="L33" s="35">
        <v>0</v>
      </c>
      <c r="M33" s="58">
        <f t="shared" si="1"/>
        <v>0</v>
      </c>
      <c r="N33" s="36">
        <v>0</v>
      </c>
      <c r="O33" s="36">
        <v>12000</v>
      </c>
      <c r="P33" s="59">
        <v>5000</v>
      </c>
      <c r="Q33" s="60">
        <v>117000</v>
      </c>
      <c r="R33" s="61">
        <v>119000</v>
      </c>
      <c r="S33" s="62">
        <f t="shared" si="2"/>
        <v>2000</v>
      </c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  <c r="AL33" s="1"/>
      <c r="AM33" s="1"/>
      <c r="AN33" s="1"/>
      <c r="AO33" s="1"/>
    </row>
    <row r="34" spans="1:41" ht="24.75" customHeight="1" x14ac:dyDescent="0.25">
      <c r="A34" s="1"/>
      <c r="B34" s="28" t="s">
        <v>92</v>
      </c>
      <c r="C34" s="28" t="s">
        <v>93</v>
      </c>
      <c r="D34" s="6" t="s">
        <v>73</v>
      </c>
      <c r="E34" s="33"/>
      <c r="F34" s="33">
        <v>46116</v>
      </c>
      <c r="G34" s="56" t="s">
        <v>85</v>
      </c>
      <c r="H34" s="57">
        <v>6</v>
      </c>
      <c r="I34" s="35">
        <v>20000</v>
      </c>
      <c r="J34" s="58">
        <f t="shared" si="0"/>
        <v>120000</v>
      </c>
      <c r="K34" s="34">
        <v>0</v>
      </c>
      <c r="L34" s="35">
        <v>0</v>
      </c>
      <c r="M34" s="58">
        <f t="shared" si="1"/>
        <v>0</v>
      </c>
      <c r="N34" s="36">
        <v>0</v>
      </c>
      <c r="O34" s="36">
        <v>12000</v>
      </c>
      <c r="P34" s="59">
        <v>5000</v>
      </c>
      <c r="Q34" s="60">
        <v>137000</v>
      </c>
      <c r="R34" s="61"/>
      <c r="S34" s="62">
        <f t="shared" si="2"/>
        <v>-137000</v>
      </c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1"/>
      <c r="AL34" s="1"/>
      <c r="AM34" s="1"/>
      <c r="AN34" s="1"/>
      <c r="AO34" s="1"/>
    </row>
    <row r="35" spans="1:41" ht="24.75" customHeight="1" x14ac:dyDescent="0.25">
      <c r="A35" s="1"/>
      <c r="B35" s="28" t="s">
        <v>94</v>
      </c>
      <c r="C35" s="28" t="s">
        <v>95</v>
      </c>
      <c r="D35" s="65" t="s">
        <v>27</v>
      </c>
      <c r="E35" s="33"/>
      <c r="F35" s="33">
        <v>46330</v>
      </c>
      <c r="G35" s="56" t="s">
        <v>85</v>
      </c>
      <c r="H35" s="57">
        <v>3</v>
      </c>
      <c r="I35" s="35">
        <v>20000</v>
      </c>
      <c r="J35" s="58">
        <f t="shared" si="0"/>
        <v>60000</v>
      </c>
      <c r="K35" s="34">
        <v>0</v>
      </c>
      <c r="L35" s="35">
        <v>0</v>
      </c>
      <c r="M35" s="58">
        <f t="shared" si="1"/>
        <v>0</v>
      </c>
      <c r="N35" s="36">
        <v>0</v>
      </c>
      <c r="O35" s="36">
        <v>12000</v>
      </c>
      <c r="P35" s="59">
        <v>5000</v>
      </c>
      <c r="Q35" s="60">
        <v>77000</v>
      </c>
      <c r="R35" s="61">
        <v>78000</v>
      </c>
      <c r="S35" s="62">
        <f t="shared" si="2"/>
        <v>1000</v>
      </c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1"/>
      <c r="AL35" s="1"/>
      <c r="AM35" s="1"/>
      <c r="AN35" s="1"/>
      <c r="AO35" s="1"/>
    </row>
    <row r="36" spans="1:41" ht="24.75" customHeight="1" x14ac:dyDescent="0.25">
      <c r="A36" s="1"/>
      <c r="B36" s="28" t="s">
        <v>96</v>
      </c>
      <c r="C36" s="28" t="s">
        <v>97</v>
      </c>
      <c r="D36" s="65" t="s">
        <v>27</v>
      </c>
      <c r="E36" s="33"/>
      <c r="F36" s="33">
        <v>46330</v>
      </c>
      <c r="G36" s="56" t="s">
        <v>85</v>
      </c>
      <c r="H36" s="57">
        <v>3</v>
      </c>
      <c r="I36" s="35">
        <v>20000</v>
      </c>
      <c r="J36" s="58">
        <f t="shared" si="0"/>
        <v>60000</v>
      </c>
      <c r="K36" s="34">
        <v>0</v>
      </c>
      <c r="L36" s="35">
        <v>0</v>
      </c>
      <c r="M36" s="58">
        <f t="shared" si="1"/>
        <v>0</v>
      </c>
      <c r="N36" s="36">
        <v>0</v>
      </c>
      <c r="O36" s="36">
        <v>12000</v>
      </c>
      <c r="P36" s="59">
        <v>5000</v>
      </c>
      <c r="Q36" s="60">
        <v>77000</v>
      </c>
      <c r="R36" s="61">
        <v>77000</v>
      </c>
      <c r="S36" s="62">
        <f t="shared" si="2"/>
        <v>0</v>
      </c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1"/>
      <c r="AL36" s="1"/>
      <c r="AM36" s="1"/>
      <c r="AN36" s="1"/>
      <c r="AO36" s="1"/>
    </row>
    <row r="37" spans="1:41" ht="24.75" customHeight="1" x14ac:dyDescent="0.25">
      <c r="A37" s="1"/>
      <c r="B37" s="28" t="s">
        <v>98</v>
      </c>
      <c r="C37" s="28" t="s">
        <v>99</v>
      </c>
      <c r="D37" s="65" t="s">
        <v>27</v>
      </c>
      <c r="E37" s="33"/>
      <c r="F37" s="33">
        <v>46330</v>
      </c>
      <c r="G37" s="56" t="s">
        <v>85</v>
      </c>
      <c r="H37" s="57">
        <v>4</v>
      </c>
      <c r="I37" s="35">
        <v>20000</v>
      </c>
      <c r="J37" s="58">
        <f t="shared" ref="J37:J68" si="3">H37*I37</f>
        <v>80000</v>
      </c>
      <c r="K37" s="34">
        <v>0</v>
      </c>
      <c r="L37" s="35">
        <v>0</v>
      </c>
      <c r="M37" s="58">
        <f t="shared" ref="M37:M68" si="4">K37*L37</f>
        <v>0</v>
      </c>
      <c r="N37" s="36">
        <v>0</v>
      </c>
      <c r="O37" s="36">
        <v>12000</v>
      </c>
      <c r="P37" s="59">
        <v>5000</v>
      </c>
      <c r="Q37" s="60">
        <v>97000</v>
      </c>
      <c r="R37" s="61">
        <v>95000</v>
      </c>
      <c r="S37" s="62">
        <f t="shared" ref="S37:S68" si="5">R37-Q37</f>
        <v>-2000</v>
      </c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1"/>
      <c r="AL37" s="1"/>
      <c r="AM37" s="1"/>
      <c r="AN37" s="1"/>
      <c r="AO37" s="1"/>
    </row>
    <row r="38" spans="1:41" ht="24.75" customHeight="1" x14ac:dyDescent="0.25">
      <c r="A38" s="1"/>
      <c r="B38" s="28" t="s">
        <v>100</v>
      </c>
      <c r="C38" s="28" t="s">
        <v>101</v>
      </c>
      <c r="D38" s="65" t="s">
        <v>27</v>
      </c>
      <c r="E38" s="33"/>
      <c r="F38" s="33">
        <v>46330</v>
      </c>
      <c r="G38" s="56" t="s">
        <v>85</v>
      </c>
      <c r="H38" s="57">
        <v>6</v>
      </c>
      <c r="I38" s="35">
        <v>20000</v>
      </c>
      <c r="J38" s="58">
        <f t="shared" si="3"/>
        <v>120000</v>
      </c>
      <c r="K38" s="34">
        <v>0</v>
      </c>
      <c r="L38" s="35">
        <v>0</v>
      </c>
      <c r="M38" s="58">
        <f t="shared" si="4"/>
        <v>0</v>
      </c>
      <c r="N38" s="36">
        <v>0</v>
      </c>
      <c r="O38" s="36">
        <v>12000</v>
      </c>
      <c r="P38" s="59">
        <v>5000</v>
      </c>
      <c r="Q38" s="60">
        <v>137000</v>
      </c>
      <c r="R38" s="61">
        <v>141000</v>
      </c>
      <c r="S38" s="62">
        <f t="shared" si="5"/>
        <v>4000</v>
      </c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1"/>
      <c r="AL38" s="1"/>
      <c r="AM38" s="1"/>
      <c r="AN38" s="1"/>
      <c r="AO38" s="1"/>
    </row>
    <row r="39" spans="1:41" ht="24.75" customHeight="1" x14ac:dyDescent="0.25">
      <c r="A39" s="1"/>
      <c r="B39" s="28" t="s">
        <v>102</v>
      </c>
      <c r="C39" s="28" t="s">
        <v>103</v>
      </c>
      <c r="D39" s="64" t="s">
        <v>275</v>
      </c>
      <c r="E39" s="33"/>
      <c r="F39" s="33">
        <v>46330</v>
      </c>
      <c r="G39" s="56" t="s">
        <v>85</v>
      </c>
      <c r="H39" s="57">
        <v>5</v>
      </c>
      <c r="I39" s="35">
        <v>20000</v>
      </c>
      <c r="J39" s="58">
        <f t="shared" si="3"/>
        <v>100000</v>
      </c>
      <c r="K39" s="34">
        <v>0</v>
      </c>
      <c r="L39" s="35">
        <v>0</v>
      </c>
      <c r="M39" s="58">
        <f t="shared" si="4"/>
        <v>0</v>
      </c>
      <c r="N39" s="36">
        <v>0</v>
      </c>
      <c r="O39" s="36">
        <v>12000</v>
      </c>
      <c r="P39" s="59">
        <v>5000</v>
      </c>
      <c r="Q39" s="60">
        <v>117000</v>
      </c>
      <c r="R39" s="61"/>
      <c r="S39" s="62">
        <f t="shared" si="5"/>
        <v>-117000</v>
      </c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1"/>
      <c r="AL39" s="1"/>
      <c r="AM39" s="1"/>
      <c r="AN39" s="1"/>
      <c r="AO39" s="1"/>
    </row>
    <row r="40" spans="1:41" ht="24.75" customHeight="1" x14ac:dyDescent="0.25">
      <c r="A40" s="1"/>
      <c r="B40" s="28" t="s">
        <v>104</v>
      </c>
      <c r="C40" s="28" t="s">
        <v>105</v>
      </c>
      <c r="D40" s="64" t="s">
        <v>275</v>
      </c>
      <c r="E40" s="33"/>
      <c r="F40" s="33" t="s">
        <v>85</v>
      </c>
      <c r="G40" s="56">
        <v>46058</v>
      </c>
      <c r="H40" s="57">
        <v>5</v>
      </c>
      <c r="I40" s="35">
        <v>20000</v>
      </c>
      <c r="J40" s="58">
        <f t="shared" si="3"/>
        <v>100000</v>
      </c>
      <c r="K40" s="34">
        <v>0</v>
      </c>
      <c r="L40" s="35">
        <v>0</v>
      </c>
      <c r="M40" s="58">
        <f t="shared" si="4"/>
        <v>0</v>
      </c>
      <c r="N40" s="36">
        <v>0</v>
      </c>
      <c r="O40" s="36">
        <v>12000</v>
      </c>
      <c r="P40" s="59">
        <v>5000</v>
      </c>
      <c r="Q40" s="60">
        <v>117000</v>
      </c>
      <c r="R40" s="61"/>
      <c r="S40" s="62">
        <f t="shared" si="5"/>
        <v>-117000</v>
      </c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  <c r="AK40" s="1"/>
      <c r="AL40" s="1"/>
      <c r="AM40" s="1"/>
      <c r="AN40" s="1"/>
      <c r="AO40" s="1"/>
    </row>
    <row r="41" spans="1:41" ht="24.75" customHeight="1" x14ac:dyDescent="0.25">
      <c r="A41" s="1"/>
      <c r="B41" s="28" t="s">
        <v>106</v>
      </c>
      <c r="C41" s="28" t="s">
        <v>107</v>
      </c>
      <c r="D41" s="6" t="s">
        <v>73</v>
      </c>
      <c r="E41" s="33"/>
      <c r="F41" s="33" t="s">
        <v>85</v>
      </c>
      <c r="G41" s="56">
        <v>46058</v>
      </c>
      <c r="H41" s="57">
        <v>4</v>
      </c>
      <c r="I41" s="35">
        <v>20000</v>
      </c>
      <c r="J41" s="58">
        <f t="shared" si="3"/>
        <v>80000</v>
      </c>
      <c r="K41" s="34">
        <v>0</v>
      </c>
      <c r="L41" s="35">
        <v>0</v>
      </c>
      <c r="M41" s="58">
        <f t="shared" si="4"/>
        <v>0</v>
      </c>
      <c r="N41" s="36">
        <v>0</v>
      </c>
      <c r="O41" s="36">
        <v>12000</v>
      </c>
      <c r="P41" s="59">
        <v>5000</v>
      </c>
      <c r="Q41" s="60">
        <v>97000</v>
      </c>
      <c r="R41" s="61"/>
      <c r="S41" s="62">
        <f t="shared" si="5"/>
        <v>-97000</v>
      </c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1"/>
      <c r="AL41" s="1"/>
      <c r="AM41" s="1"/>
      <c r="AN41" s="1"/>
      <c r="AO41" s="1"/>
    </row>
    <row r="42" spans="1:41" x14ac:dyDescent="0.25">
      <c r="A42" s="1"/>
      <c r="B42" s="28" t="s">
        <v>108</v>
      </c>
      <c r="C42" s="28" t="s">
        <v>109</v>
      </c>
      <c r="D42" s="64" t="s">
        <v>275</v>
      </c>
      <c r="E42" s="33"/>
      <c r="F42" s="33" t="s">
        <v>85</v>
      </c>
      <c r="G42" s="56">
        <v>46058</v>
      </c>
      <c r="H42" s="57">
        <v>6</v>
      </c>
      <c r="I42" s="35">
        <v>20000</v>
      </c>
      <c r="J42" s="58">
        <f t="shared" si="3"/>
        <v>120000</v>
      </c>
      <c r="K42" s="34">
        <v>0</v>
      </c>
      <c r="L42" s="35">
        <v>0</v>
      </c>
      <c r="M42" s="58">
        <f t="shared" si="4"/>
        <v>0</v>
      </c>
      <c r="N42" s="36">
        <v>0</v>
      </c>
      <c r="O42" s="36">
        <v>12000</v>
      </c>
      <c r="P42" s="59">
        <v>5000</v>
      </c>
      <c r="Q42" s="60">
        <v>137000</v>
      </c>
      <c r="R42" s="61"/>
      <c r="S42" s="62">
        <f t="shared" si="5"/>
        <v>-137000</v>
      </c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1"/>
      <c r="AK42" s="1"/>
      <c r="AL42" s="1"/>
      <c r="AM42" s="1"/>
      <c r="AN42" s="1"/>
      <c r="AO42" s="1"/>
    </row>
    <row r="43" spans="1:41" ht="36.75" customHeight="1" x14ac:dyDescent="0.25">
      <c r="A43" s="1"/>
      <c r="B43" s="28" t="s">
        <v>110</v>
      </c>
      <c r="C43" s="28" t="s">
        <v>111</v>
      </c>
      <c r="D43" s="64" t="s">
        <v>275</v>
      </c>
      <c r="E43" s="33"/>
      <c r="F43" s="33" t="s">
        <v>85</v>
      </c>
      <c r="G43" s="56">
        <v>46058</v>
      </c>
      <c r="H43" s="57">
        <v>4</v>
      </c>
      <c r="I43" s="35">
        <v>20000</v>
      </c>
      <c r="J43" s="58">
        <f t="shared" si="3"/>
        <v>80000</v>
      </c>
      <c r="K43" s="34">
        <v>0</v>
      </c>
      <c r="L43" s="35">
        <v>0</v>
      </c>
      <c r="M43" s="58">
        <f t="shared" si="4"/>
        <v>0</v>
      </c>
      <c r="N43" s="36">
        <v>0</v>
      </c>
      <c r="O43" s="36">
        <v>12000</v>
      </c>
      <c r="P43" s="59">
        <v>5000</v>
      </c>
      <c r="Q43" s="60">
        <v>97000</v>
      </c>
      <c r="R43" s="61"/>
      <c r="S43" s="62">
        <f t="shared" si="5"/>
        <v>-97000</v>
      </c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  <c r="AL43" s="1"/>
      <c r="AM43" s="1"/>
      <c r="AN43" s="1"/>
      <c r="AO43" s="1"/>
    </row>
    <row r="44" spans="1:41" ht="24.75" customHeight="1" x14ac:dyDescent="0.25">
      <c r="A44" s="1"/>
      <c r="B44" s="28" t="s">
        <v>112</v>
      </c>
      <c r="C44" s="28" t="s">
        <v>113</v>
      </c>
      <c r="D44" s="64" t="s">
        <v>275</v>
      </c>
      <c r="E44" s="33"/>
      <c r="F44" s="33" t="s">
        <v>85</v>
      </c>
      <c r="G44" s="56">
        <v>46058</v>
      </c>
      <c r="H44" s="57">
        <v>4</v>
      </c>
      <c r="I44" s="35">
        <v>20000</v>
      </c>
      <c r="J44" s="58">
        <f t="shared" si="3"/>
        <v>80000</v>
      </c>
      <c r="K44" s="34">
        <v>0</v>
      </c>
      <c r="L44" s="35">
        <v>0</v>
      </c>
      <c r="M44" s="58">
        <f t="shared" si="4"/>
        <v>0</v>
      </c>
      <c r="N44" s="36">
        <v>0</v>
      </c>
      <c r="O44" s="36">
        <v>12000</v>
      </c>
      <c r="P44" s="59">
        <v>5000</v>
      </c>
      <c r="Q44" s="60">
        <v>97000</v>
      </c>
      <c r="R44" s="61"/>
      <c r="S44" s="62">
        <f t="shared" si="5"/>
        <v>-97000</v>
      </c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  <c r="AL44" s="1"/>
      <c r="AM44" s="1"/>
      <c r="AN44" s="1"/>
      <c r="AO44" s="1"/>
    </row>
    <row r="45" spans="1:41" ht="36.75" customHeight="1" x14ac:dyDescent="0.25">
      <c r="A45" s="1"/>
      <c r="B45" s="28" t="s">
        <v>114</v>
      </c>
      <c r="C45" s="28" t="s">
        <v>115</v>
      </c>
      <c r="D45" s="65" t="s">
        <v>27</v>
      </c>
      <c r="E45" s="33"/>
      <c r="F45" s="33" t="s">
        <v>116</v>
      </c>
      <c r="G45" s="56" t="s">
        <v>117</v>
      </c>
      <c r="H45" s="57">
        <v>4</v>
      </c>
      <c r="I45" s="35">
        <v>20000</v>
      </c>
      <c r="J45" s="58">
        <f t="shared" si="3"/>
        <v>80000</v>
      </c>
      <c r="K45" s="34">
        <v>0</v>
      </c>
      <c r="L45" s="35">
        <v>0</v>
      </c>
      <c r="M45" s="58">
        <f t="shared" si="4"/>
        <v>0</v>
      </c>
      <c r="N45" s="36">
        <v>0</v>
      </c>
      <c r="O45" s="36">
        <v>12000</v>
      </c>
      <c r="P45" s="59">
        <v>5000</v>
      </c>
      <c r="Q45" s="60">
        <v>97000</v>
      </c>
      <c r="R45" s="61">
        <v>97000</v>
      </c>
      <c r="S45" s="62">
        <f t="shared" si="5"/>
        <v>0</v>
      </c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  <c r="AL45" s="1"/>
      <c r="AM45" s="1"/>
      <c r="AN45" s="1"/>
      <c r="AO45" s="1"/>
    </row>
    <row r="46" spans="1:41" ht="24.75" customHeight="1" x14ac:dyDescent="0.25">
      <c r="A46" s="1"/>
      <c r="B46" s="28" t="s">
        <v>118</v>
      </c>
      <c r="C46" s="28" t="s">
        <v>119</v>
      </c>
      <c r="D46" s="65" t="s">
        <v>27</v>
      </c>
      <c r="E46" s="33"/>
      <c r="F46" s="33" t="s">
        <v>116</v>
      </c>
      <c r="G46" s="56" t="s">
        <v>117</v>
      </c>
      <c r="H46" s="57">
        <v>3</v>
      </c>
      <c r="I46" s="35">
        <v>20000</v>
      </c>
      <c r="J46" s="58">
        <f t="shared" si="3"/>
        <v>60000</v>
      </c>
      <c r="K46" s="34">
        <v>0</v>
      </c>
      <c r="L46" s="35">
        <v>0</v>
      </c>
      <c r="M46" s="58">
        <f t="shared" si="4"/>
        <v>0</v>
      </c>
      <c r="N46" s="36">
        <v>0</v>
      </c>
      <c r="O46" s="36">
        <v>12000</v>
      </c>
      <c r="P46" s="59">
        <v>5000</v>
      </c>
      <c r="Q46" s="60">
        <v>77000</v>
      </c>
      <c r="R46" s="61">
        <v>71000</v>
      </c>
      <c r="S46" s="62">
        <f t="shared" si="5"/>
        <v>-6000</v>
      </c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  <c r="AO46" s="1"/>
    </row>
    <row r="47" spans="1:41" ht="24.75" customHeight="1" x14ac:dyDescent="0.25">
      <c r="A47" s="1"/>
      <c r="B47" s="28" t="s">
        <v>120</v>
      </c>
      <c r="C47" s="28" t="s">
        <v>121</v>
      </c>
      <c r="D47" s="65" t="s">
        <v>27</v>
      </c>
      <c r="E47" s="33"/>
      <c r="F47" s="33" t="s">
        <v>116</v>
      </c>
      <c r="G47" s="56" t="s">
        <v>117</v>
      </c>
      <c r="H47" s="57">
        <v>4</v>
      </c>
      <c r="I47" s="35">
        <v>20000</v>
      </c>
      <c r="J47" s="58">
        <f t="shared" si="3"/>
        <v>80000</v>
      </c>
      <c r="K47" s="34">
        <v>0</v>
      </c>
      <c r="L47" s="35">
        <v>0</v>
      </c>
      <c r="M47" s="58">
        <f t="shared" si="4"/>
        <v>0</v>
      </c>
      <c r="N47" s="36">
        <v>0</v>
      </c>
      <c r="O47" s="36">
        <v>12000</v>
      </c>
      <c r="P47" s="59">
        <v>5000</v>
      </c>
      <c r="Q47" s="60">
        <v>97000</v>
      </c>
      <c r="R47" s="61">
        <v>92000</v>
      </c>
      <c r="S47" s="62">
        <f t="shared" si="5"/>
        <v>-5000</v>
      </c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  <c r="AM47" s="1"/>
      <c r="AN47" s="1"/>
      <c r="AO47" s="1"/>
    </row>
    <row r="48" spans="1:41" ht="24.75" customHeight="1" x14ac:dyDescent="0.25">
      <c r="A48" s="1"/>
      <c r="B48" s="28" t="s">
        <v>122</v>
      </c>
      <c r="C48" s="28" t="s">
        <v>123</v>
      </c>
      <c r="D48" s="65" t="s">
        <v>27</v>
      </c>
      <c r="E48" s="33"/>
      <c r="F48" s="33" t="s">
        <v>116</v>
      </c>
      <c r="G48" s="56" t="s">
        <v>117</v>
      </c>
      <c r="H48" s="57">
        <v>4</v>
      </c>
      <c r="I48" s="35">
        <v>20000</v>
      </c>
      <c r="J48" s="58">
        <f t="shared" si="3"/>
        <v>80000</v>
      </c>
      <c r="K48" s="34">
        <v>0</v>
      </c>
      <c r="L48" s="35">
        <v>0</v>
      </c>
      <c r="M48" s="58">
        <f t="shared" si="4"/>
        <v>0</v>
      </c>
      <c r="N48" s="36">
        <v>0</v>
      </c>
      <c r="O48" s="36">
        <v>12000</v>
      </c>
      <c r="P48" s="59">
        <v>5000</v>
      </c>
      <c r="Q48" s="60">
        <v>97000</v>
      </c>
      <c r="R48" s="61">
        <v>92000</v>
      </c>
      <c r="S48" s="62">
        <f t="shared" si="5"/>
        <v>-5000</v>
      </c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  <c r="AM48" s="1"/>
      <c r="AN48" s="1"/>
      <c r="AO48" s="1"/>
    </row>
    <row r="49" spans="1:41" ht="24.75" customHeight="1" x14ac:dyDescent="0.25">
      <c r="A49" s="1"/>
      <c r="B49" s="28" t="s">
        <v>124</v>
      </c>
      <c r="C49" s="28" t="s">
        <v>125</v>
      </c>
      <c r="D49" s="65" t="s">
        <v>27</v>
      </c>
      <c r="E49" s="33"/>
      <c r="F49" s="33" t="s">
        <v>116</v>
      </c>
      <c r="G49" s="56" t="s">
        <v>117</v>
      </c>
      <c r="H49" s="57">
        <v>4</v>
      </c>
      <c r="I49" s="35">
        <v>20000</v>
      </c>
      <c r="J49" s="58">
        <f t="shared" si="3"/>
        <v>80000</v>
      </c>
      <c r="K49" s="34">
        <v>0</v>
      </c>
      <c r="L49" s="35">
        <v>0</v>
      </c>
      <c r="M49" s="58">
        <f t="shared" si="4"/>
        <v>0</v>
      </c>
      <c r="N49" s="36">
        <v>0</v>
      </c>
      <c r="O49" s="36">
        <v>12000</v>
      </c>
      <c r="P49" s="59">
        <v>5000</v>
      </c>
      <c r="Q49" s="60">
        <v>97000</v>
      </c>
      <c r="R49" s="61">
        <v>90000</v>
      </c>
      <c r="S49" s="62">
        <f t="shared" si="5"/>
        <v>-7000</v>
      </c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1"/>
      <c r="AO49" s="1"/>
    </row>
    <row r="50" spans="1:41" ht="24.75" customHeight="1" x14ac:dyDescent="0.25">
      <c r="A50" s="1"/>
      <c r="B50" s="28" t="s">
        <v>126</v>
      </c>
      <c r="C50" s="28" t="s">
        <v>127</v>
      </c>
      <c r="D50" s="64" t="s">
        <v>275</v>
      </c>
      <c r="E50" s="33"/>
      <c r="F50" s="33">
        <v>46058</v>
      </c>
      <c r="G50" s="56" t="s">
        <v>128</v>
      </c>
      <c r="H50" s="57">
        <v>3</v>
      </c>
      <c r="I50" s="35">
        <v>20000</v>
      </c>
      <c r="J50" s="58">
        <f t="shared" si="3"/>
        <v>60000</v>
      </c>
      <c r="K50" s="34">
        <v>0</v>
      </c>
      <c r="L50" s="67">
        <v>0</v>
      </c>
      <c r="M50" s="58">
        <f t="shared" si="4"/>
        <v>0</v>
      </c>
      <c r="N50" s="36">
        <v>0</v>
      </c>
      <c r="O50" s="36">
        <v>12000</v>
      </c>
      <c r="P50" s="59">
        <v>5000</v>
      </c>
      <c r="Q50" s="60">
        <v>77000</v>
      </c>
      <c r="R50" s="61"/>
      <c r="S50" s="62">
        <f t="shared" si="5"/>
        <v>-77000</v>
      </c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  <c r="AM50" s="1"/>
      <c r="AN50" s="1"/>
      <c r="AO50" s="1"/>
    </row>
    <row r="51" spans="1:41" ht="24.75" customHeight="1" x14ac:dyDescent="0.25">
      <c r="A51" s="1"/>
      <c r="B51" s="28" t="s">
        <v>129</v>
      </c>
      <c r="C51" s="28" t="s">
        <v>130</v>
      </c>
      <c r="D51" s="65" t="s">
        <v>27</v>
      </c>
      <c r="E51" s="33"/>
      <c r="F51" s="33">
        <v>46058</v>
      </c>
      <c r="G51" s="56" t="s">
        <v>128</v>
      </c>
      <c r="H51" s="57">
        <v>3</v>
      </c>
      <c r="I51" s="35">
        <v>20000</v>
      </c>
      <c r="J51" s="58">
        <f t="shared" si="3"/>
        <v>60000</v>
      </c>
      <c r="K51" s="34">
        <v>0</v>
      </c>
      <c r="L51" s="35">
        <v>0</v>
      </c>
      <c r="M51" s="58">
        <f t="shared" si="4"/>
        <v>0</v>
      </c>
      <c r="N51" s="36">
        <v>0</v>
      </c>
      <c r="O51" s="36">
        <v>12000</v>
      </c>
      <c r="P51" s="59">
        <v>5000</v>
      </c>
      <c r="Q51" s="60">
        <v>77000</v>
      </c>
      <c r="R51" s="61">
        <v>72000</v>
      </c>
      <c r="S51" s="62">
        <f t="shared" si="5"/>
        <v>-5000</v>
      </c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/>
      <c r="AM51" s="1"/>
      <c r="AN51" s="1"/>
      <c r="AO51" s="1"/>
    </row>
    <row r="52" spans="1:41" ht="24.75" customHeight="1" x14ac:dyDescent="0.25">
      <c r="A52" s="1"/>
      <c r="B52" s="28" t="s">
        <v>131</v>
      </c>
      <c r="C52" s="28" t="s">
        <v>132</v>
      </c>
      <c r="D52" s="65" t="s">
        <v>27</v>
      </c>
      <c r="E52" s="33"/>
      <c r="F52" s="33">
        <v>46058</v>
      </c>
      <c r="G52" s="56" t="s">
        <v>128</v>
      </c>
      <c r="H52" s="57">
        <v>4</v>
      </c>
      <c r="I52" s="35">
        <v>20000</v>
      </c>
      <c r="J52" s="58">
        <f t="shared" si="3"/>
        <v>80000</v>
      </c>
      <c r="K52" s="34">
        <v>0</v>
      </c>
      <c r="L52" s="35">
        <v>0</v>
      </c>
      <c r="M52" s="58">
        <f t="shared" si="4"/>
        <v>0</v>
      </c>
      <c r="N52" s="36">
        <v>0</v>
      </c>
      <c r="O52" s="36">
        <v>12000</v>
      </c>
      <c r="P52" s="59">
        <v>5000</v>
      </c>
      <c r="Q52" s="60">
        <v>97000</v>
      </c>
      <c r="R52" s="61">
        <v>92000</v>
      </c>
      <c r="S52" s="62">
        <f t="shared" si="5"/>
        <v>-5000</v>
      </c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  <c r="AM52" s="1"/>
      <c r="AN52" s="1"/>
      <c r="AO52" s="1"/>
    </row>
    <row r="53" spans="1:41" ht="24.75" customHeight="1" x14ac:dyDescent="0.25">
      <c r="A53" s="1"/>
      <c r="B53" s="28" t="s">
        <v>133</v>
      </c>
      <c r="C53" s="28" t="s">
        <v>134</v>
      </c>
      <c r="D53" s="65" t="s">
        <v>27</v>
      </c>
      <c r="E53" s="33"/>
      <c r="F53" s="33">
        <v>46058</v>
      </c>
      <c r="G53" s="56" t="s">
        <v>128</v>
      </c>
      <c r="H53" s="57">
        <v>5</v>
      </c>
      <c r="I53" s="35">
        <v>20000</v>
      </c>
      <c r="J53" s="58">
        <f t="shared" si="3"/>
        <v>100000</v>
      </c>
      <c r="K53" s="34">
        <v>0</v>
      </c>
      <c r="L53" s="35">
        <v>0</v>
      </c>
      <c r="M53" s="58">
        <f t="shared" si="4"/>
        <v>0</v>
      </c>
      <c r="N53" s="36">
        <v>0</v>
      </c>
      <c r="O53" s="36">
        <v>12000</v>
      </c>
      <c r="P53" s="59">
        <v>5000</v>
      </c>
      <c r="Q53" s="60">
        <v>117000</v>
      </c>
      <c r="R53" s="61">
        <v>116000</v>
      </c>
      <c r="S53" s="62">
        <f t="shared" si="5"/>
        <v>-1000</v>
      </c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1"/>
      <c r="AM53" s="1"/>
      <c r="AN53" s="1"/>
      <c r="AO53" s="1"/>
    </row>
    <row r="54" spans="1:41" ht="24.75" customHeight="1" x14ac:dyDescent="0.25">
      <c r="A54" s="1"/>
      <c r="B54" s="28" t="s">
        <v>135</v>
      </c>
      <c r="C54" s="28" t="s">
        <v>136</v>
      </c>
      <c r="D54" s="65" t="s">
        <v>27</v>
      </c>
      <c r="E54" s="33"/>
      <c r="F54" s="33">
        <v>46058</v>
      </c>
      <c r="G54" s="56" t="s">
        <v>128</v>
      </c>
      <c r="H54" s="57">
        <v>4</v>
      </c>
      <c r="I54" s="35">
        <v>20000</v>
      </c>
      <c r="J54" s="58">
        <f t="shared" si="3"/>
        <v>80000</v>
      </c>
      <c r="K54" s="34">
        <v>0</v>
      </c>
      <c r="L54" s="35">
        <v>0</v>
      </c>
      <c r="M54" s="58">
        <f t="shared" si="4"/>
        <v>0</v>
      </c>
      <c r="N54" s="36">
        <v>0</v>
      </c>
      <c r="O54" s="36">
        <v>12000</v>
      </c>
      <c r="P54" s="59">
        <v>5000</v>
      </c>
      <c r="Q54" s="60">
        <v>97000</v>
      </c>
      <c r="R54" s="61">
        <v>93000</v>
      </c>
      <c r="S54" s="62">
        <f t="shared" si="5"/>
        <v>-4000</v>
      </c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  <c r="AM54" s="1"/>
      <c r="AN54" s="1"/>
      <c r="AO54" s="1"/>
    </row>
    <row r="55" spans="1:41" ht="24.75" customHeight="1" x14ac:dyDescent="0.25">
      <c r="A55" s="1"/>
      <c r="B55" s="28" t="s">
        <v>137</v>
      </c>
      <c r="C55" s="28" t="s">
        <v>138</v>
      </c>
      <c r="D55" s="6" t="s">
        <v>73</v>
      </c>
      <c r="E55" s="33"/>
      <c r="F55" s="33">
        <v>46270</v>
      </c>
      <c r="G55" s="56" t="s">
        <v>139</v>
      </c>
      <c r="H55" s="57">
        <v>4</v>
      </c>
      <c r="I55" s="35">
        <v>20000</v>
      </c>
      <c r="J55" s="58">
        <f t="shared" si="3"/>
        <v>80000</v>
      </c>
      <c r="K55" s="34">
        <v>0</v>
      </c>
      <c r="L55" s="35">
        <v>0</v>
      </c>
      <c r="M55" s="58">
        <f t="shared" si="4"/>
        <v>0</v>
      </c>
      <c r="N55" s="36">
        <v>0</v>
      </c>
      <c r="O55" s="36">
        <v>12000</v>
      </c>
      <c r="P55" s="59">
        <v>5000</v>
      </c>
      <c r="Q55" s="60">
        <v>97000</v>
      </c>
      <c r="R55" s="61"/>
      <c r="S55" s="62">
        <f t="shared" si="5"/>
        <v>-97000</v>
      </c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  <c r="AM55" s="1"/>
      <c r="AN55" s="1"/>
      <c r="AO55" s="1"/>
    </row>
    <row r="56" spans="1:41" ht="24.75" customHeight="1" x14ac:dyDescent="0.25">
      <c r="A56" s="1"/>
      <c r="B56" s="28" t="s">
        <v>140</v>
      </c>
      <c r="C56" s="28" t="s">
        <v>141</v>
      </c>
      <c r="D56" s="65" t="s">
        <v>27</v>
      </c>
      <c r="E56" s="33"/>
      <c r="F56" s="33">
        <v>46270</v>
      </c>
      <c r="G56" s="56" t="s">
        <v>139</v>
      </c>
      <c r="H56" s="57">
        <v>8</v>
      </c>
      <c r="I56" s="35">
        <v>20000</v>
      </c>
      <c r="J56" s="58">
        <f t="shared" si="3"/>
        <v>160000</v>
      </c>
      <c r="K56" s="34">
        <v>0</v>
      </c>
      <c r="L56" s="35">
        <v>0</v>
      </c>
      <c r="M56" s="58">
        <f t="shared" si="4"/>
        <v>0</v>
      </c>
      <c r="N56" s="36">
        <v>0</v>
      </c>
      <c r="O56" s="36">
        <v>12000</v>
      </c>
      <c r="P56" s="59">
        <v>5000</v>
      </c>
      <c r="Q56" s="60">
        <v>177000</v>
      </c>
      <c r="R56" s="61">
        <v>167000</v>
      </c>
      <c r="S56" s="62">
        <f t="shared" si="5"/>
        <v>-10000</v>
      </c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1"/>
      <c r="AN56" s="1"/>
      <c r="AO56" s="1"/>
    </row>
    <row r="57" spans="1:41" ht="24.75" customHeight="1" x14ac:dyDescent="0.25">
      <c r="A57" s="1"/>
      <c r="B57" s="28" t="s">
        <v>142</v>
      </c>
      <c r="C57" s="28" t="s">
        <v>143</v>
      </c>
      <c r="D57" s="65" t="s">
        <v>27</v>
      </c>
      <c r="E57" s="33"/>
      <c r="F57" s="33">
        <v>46270</v>
      </c>
      <c r="G57" s="56" t="s">
        <v>139</v>
      </c>
      <c r="H57" s="57">
        <v>6</v>
      </c>
      <c r="I57" s="35">
        <v>20000</v>
      </c>
      <c r="J57" s="58">
        <f t="shared" si="3"/>
        <v>120000</v>
      </c>
      <c r="K57" s="34">
        <v>0</v>
      </c>
      <c r="L57" s="35">
        <v>0</v>
      </c>
      <c r="M57" s="58">
        <f t="shared" si="4"/>
        <v>0</v>
      </c>
      <c r="N57" s="36">
        <v>0</v>
      </c>
      <c r="O57" s="36">
        <v>12000</v>
      </c>
      <c r="P57" s="59">
        <v>5000</v>
      </c>
      <c r="Q57" s="60">
        <v>137000</v>
      </c>
      <c r="R57" s="61">
        <v>130000</v>
      </c>
      <c r="S57" s="62">
        <f t="shared" si="5"/>
        <v>-7000</v>
      </c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</row>
    <row r="58" spans="1:41" ht="24.75" customHeight="1" x14ac:dyDescent="0.25">
      <c r="A58" s="1"/>
      <c r="B58" s="28" t="s">
        <v>144</v>
      </c>
      <c r="C58" s="28" t="s">
        <v>145</v>
      </c>
      <c r="D58" s="65" t="s">
        <v>27</v>
      </c>
      <c r="E58" s="33"/>
      <c r="F58" s="33">
        <v>46270</v>
      </c>
      <c r="G58" s="56" t="s">
        <v>139</v>
      </c>
      <c r="H58" s="57">
        <v>6</v>
      </c>
      <c r="I58" s="35">
        <v>20000</v>
      </c>
      <c r="J58" s="58">
        <f t="shared" si="3"/>
        <v>120000</v>
      </c>
      <c r="K58" s="34">
        <v>0</v>
      </c>
      <c r="L58" s="35">
        <v>0</v>
      </c>
      <c r="M58" s="58">
        <f t="shared" si="4"/>
        <v>0</v>
      </c>
      <c r="N58" s="36">
        <v>0</v>
      </c>
      <c r="O58" s="36">
        <v>12000</v>
      </c>
      <c r="P58" s="59">
        <v>5000</v>
      </c>
      <c r="Q58" s="60">
        <v>137000</v>
      </c>
      <c r="R58" s="61">
        <v>140000</v>
      </c>
      <c r="S58" s="62">
        <f t="shared" si="5"/>
        <v>3000</v>
      </c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</row>
    <row r="59" spans="1:41" ht="27" x14ac:dyDescent="0.25">
      <c r="A59" s="1"/>
      <c r="B59" s="28" t="s">
        <v>146</v>
      </c>
      <c r="C59" s="28" t="s">
        <v>147</v>
      </c>
      <c r="D59" s="65" t="s">
        <v>27</v>
      </c>
      <c r="E59" s="33"/>
      <c r="F59" s="33">
        <v>46270</v>
      </c>
      <c r="G59" s="56" t="s">
        <v>139</v>
      </c>
      <c r="H59" s="57">
        <v>5</v>
      </c>
      <c r="I59" s="35">
        <v>20000</v>
      </c>
      <c r="J59" s="58">
        <f t="shared" si="3"/>
        <v>100000</v>
      </c>
      <c r="K59" s="34">
        <v>0</v>
      </c>
      <c r="L59" s="35">
        <v>0</v>
      </c>
      <c r="M59" s="58">
        <f t="shared" si="4"/>
        <v>0</v>
      </c>
      <c r="N59" s="36">
        <v>0</v>
      </c>
      <c r="O59" s="36">
        <v>12000</v>
      </c>
      <c r="P59" s="59">
        <v>5000</v>
      </c>
      <c r="Q59" s="60">
        <v>117000</v>
      </c>
      <c r="R59" s="61">
        <v>116000</v>
      </c>
      <c r="S59" s="62">
        <f t="shared" si="5"/>
        <v>-1000</v>
      </c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</row>
    <row r="60" spans="1:41" ht="24.75" customHeight="1" x14ac:dyDescent="0.25">
      <c r="A60" s="1"/>
      <c r="B60" s="28" t="s">
        <v>148</v>
      </c>
      <c r="C60" s="28" t="s">
        <v>149</v>
      </c>
      <c r="D60" s="65" t="s">
        <v>27</v>
      </c>
      <c r="E60" s="33"/>
      <c r="F60" s="33" t="s">
        <v>117</v>
      </c>
      <c r="G60" s="56" t="s">
        <v>139</v>
      </c>
      <c r="H60" s="57">
        <v>8</v>
      </c>
      <c r="I60" s="35">
        <v>20000</v>
      </c>
      <c r="J60" s="58">
        <f t="shared" si="3"/>
        <v>160000</v>
      </c>
      <c r="K60" s="34">
        <v>0</v>
      </c>
      <c r="L60" s="35">
        <v>0</v>
      </c>
      <c r="M60" s="58">
        <f t="shared" si="4"/>
        <v>0</v>
      </c>
      <c r="N60" s="36">
        <v>0</v>
      </c>
      <c r="O60" s="36">
        <v>12000</v>
      </c>
      <c r="P60" s="59">
        <v>5000</v>
      </c>
      <c r="Q60" s="60">
        <v>177000</v>
      </c>
      <c r="R60" s="61">
        <v>175000</v>
      </c>
      <c r="S60" s="62">
        <f t="shared" si="5"/>
        <v>-2000</v>
      </c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</row>
    <row r="61" spans="1:41" ht="24.75" customHeight="1" x14ac:dyDescent="0.25">
      <c r="A61" s="1"/>
      <c r="B61" s="28" t="s">
        <v>150</v>
      </c>
      <c r="C61" s="28" t="s">
        <v>151</v>
      </c>
      <c r="D61" s="65" t="s">
        <v>27</v>
      </c>
      <c r="E61" s="33"/>
      <c r="F61" s="33" t="s">
        <v>117</v>
      </c>
      <c r="G61" s="56" t="s">
        <v>139</v>
      </c>
      <c r="H61" s="57">
        <v>5</v>
      </c>
      <c r="I61" s="35">
        <v>20000</v>
      </c>
      <c r="J61" s="58">
        <f t="shared" si="3"/>
        <v>100000</v>
      </c>
      <c r="K61" s="34">
        <v>0</v>
      </c>
      <c r="L61" s="35">
        <v>0</v>
      </c>
      <c r="M61" s="58">
        <f t="shared" si="4"/>
        <v>0</v>
      </c>
      <c r="N61" s="36">
        <v>0</v>
      </c>
      <c r="O61" s="36">
        <v>12000</v>
      </c>
      <c r="P61" s="59">
        <v>5000</v>
      </c>
      <c r="Q61" s="60">
        <v>117000</v>
      </c>
      <c r="R61" s="61">
        <v>110000</v>
      </c>
      <c r="S61" s="62">
        <f t="shared" si="5"/>
        <v>-7000</v>
      </c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</row>
    <row r="62" spans="1:41" ht="24.75" customHeight="1" x14ac:dyDescent="0.25">
      <c r="A62" s="1"/>
      <c r="B62" s="28" t="s">
        <v>152</v>
      </c>
      <c r="C62" s="28" t="s">
        <v>153</v>
      </c>
      <c r="D62" s="6" t="s">
        <v>73</v>
      </c>
      <c r="E62" s="33"/>
      <c r="F62" s="33" t="s">
        <v>117</v>
      </c>
      <c r="G62" s="56" t="s">
        <v>139</v>
      </c>
      <c r="H62" s="57">
        <v>6</v>
      </c>
      <c r="I62" s="35">
        <v>20000</v>
      </c>
      <c r="J62" s="58">
        <f t="shared" si="3"/>
        <v>120000</v>
      </c>
      <c r="K62" s="34">
        <v>0</v>
      </c>
      <c r="L62" s="35">
        <v>0</v>
      </c>
      <c r="M62" s="58">
        <f t="shared" si="4"/>
        <v>0</v>
      </c>
      <c r="N62" s="36">
        <v>0</v>
      </c>
      <c r="O62" s="36">
        <v>12000</v>
      </c>
      <c r="P62" s="59">
        <v>5000</v>
      </c>
      <c r="Q62" s="60">
        <v>137000</v>
      </c>
      <c r="R62" s="61"/>
      <c r="S62" s="62">
        <f t="shared" si="5"/>
        <v>-137000</v>
      </c>
      <c r="T62" s="1"/>
      <c r="U62" s="1"/>
    </row>
    <row r="63" spans="1:41" ht="24.75" customHeight="1" x14ac:dyDescent="0.25">
      <c r="A63" s="1"/>
      <c r="B63" s="28" t="s">
        <v>154</v>
      </c>
      <c r="C63" s="28" t="s">
        <v>155</v>
      </c>
      <c r="D63" s="6" t="s">
        <v>73</v>
      </c>
      <c r="E63" s="33"/>
      <c r="F63" s="33" t="s">
        <v>117</v>
      </c>
      <c r="G63" s="56" t="s">
        <v>139</v>
      </c>
      <c r="H63" s="57">
        <v>10</v>
      </c>
      <c r="I63" s="35">
        <v>20000</v>
      </c>
      <c r="J63" s="58">
        <f t="shared" si="3"/>
        <v>200000</v>
      </c>
      <c r="K63" s="34">
        <v>0</v>
      </c>
      <c r="L63" s="35">
        <v>0</v>
      </c>
      <c r="M63" s="58">
        <f t="shared" si="4"/>
        <v>0</v>
      </c>
      <c r="N63" s="36">
        <v>0</v>
      </c>
      <c r="O63" s="36">
        <v>12000</v>
      </c>
      <c r="P63" s="59">
        <v>5000</v>
      </c>
      <c r="Q63" s="60">
        <v>217000</v>
      </c>
      <c r="R63" s="61"/>
      <c r="S63" s="62">
        <f t="shared" si="5"/>
        <v>-217000</v>
      </c>
      <c r="T63" s="1"/>
      <c r="U63" s="1"/>
    </row>
    <row r="64" spans="1:41" ht="24.75" customHeight="1" x14ac:dyDescent="0.25">
      <c r="A64" s="1"/>
      <c r="B64" s="28" t="s">
        <v>156</v>
      </c>
      <c r="C64" s="28" t="s">
        <v>157</v>
      </c>
      <c r="D64" s="6" t="s">
        <v>73</v>
      </c>
      <c r="E64" s="33"/>
      <c r="F64" s="33" t="s">
        <v>117</v>
      </c>
      <c r="G64" s="56" t="s">
        <v>139</v>
      </c>
      <c r="H64" s="57">
        <v>8</v>
      </c>
      <c r="I64" s="35">
        <v>20000</v>
      </c>
      <c r="J64" s="58">
        <f t="shared" si="3"/>
        <v>160000</v>
      </c>
      <c r="K64" s="34">
        <v>0</v>
      </c>
      <c r="L64" s="35">
        <v>0</v>
      </c>
      <c r="M64" s="58">
        <f t="shared" si="4"/>
        <v>0</v>
      </c>
      <c r="N64" s="36">
        <v>0</v>
      </c>
      <c r="O64" s="36">
        <v>12000</v>
      </c>
      <c r="P64" s="59">
        <v>5000</v>
      </c>
      <c r="Q64" s="60">
        <v>177000</v>
      </c>
      <c r="R64" s="61"/>
      <c r="S64" s="62">
        <f t="shared" si="5"/>
        <v>-177000</v>
      </c>
      <c r="T64" s="1"/>
      <c r="U64" s="1"/>
    </row>
    <row r="65" spans="1:21" ht="24.75" customHeight="1" x14ac:dyDescent="0.25">
      <c r="A65" s="1"/>
      <c r="B65" s="28" t="s">
        <v>158</v>
      </c>
      <c r="C65" s="28" t="s">
        <v>159</v>
      </c>
      <c r="D65" s="6" t="s">
        <v>73</v>
      </c>
      <c r="E65" s="33"/>
      <c r="F65" s="33" t="s">
        <v>160</v>
      </c>
      <c r="G65" s="56" t="s">
        <v>139</v>
      </c>
      <c r="H65" s="57">
        <v>5</v>
      </c>
      <c r="I65" s="35">
        <v>20000</v>
      </c>
      <c r="J65" s="58">
        <f t="shared" si="3"/>
        <v>100000</v>
      </c>
      <c r="K65" s="34">
        <v>0</v>
      </c>
      <c r="L65" s="35">
        <v>0</v>
      </c>
      <c r="M65" s="58">
        <f t="shared" si="4"/>
        <v>0</v>
      </c>
      <c r="N65" s="36">
        <v>0</v>
      </c>
      <c r="O65" s="36">
        <v>12000</v>
      </c>
      <c r="P65" s="59">
        <v>5000</v>
      </c>
      <c r="Q65" s="60">
        <v>117000</v>
      </c>
      <c r="R65" s="61"/>
      <c r="S65" s="62">
        <f t="shared" si="5"/>
        <v>-117000</v>
      </c>
      <c r="T65" s="1"/>
      <c r="U65" s="1"/>
    </row>
    <row r="66" spans="1:21" ht="24.75" customHeight="1" x14ac:dyDescent="0.25">
      <c r="A66" s="1"/>
      <c r="B66" s="28" t="s">
        <v>161</v>
      </c>
      <c r="C66" s="28" t="s">
        <v>162</v>
      </c>
      <c r="D66" s="6" t="s">
        <v>73</v>
      </c>
      <c r="E66" s="33"/>
      <c r="F66" s="33" t="s">
        <v>160</v>
      </c>
      <c r="G66" s="56" t="s">
        <v>139</v>
      </c>
      <c r="H66" s="57">
        <v>5</v>
      </c>
      <c r="I66" s="35">
        <v>20000</v>
      </c>
      <c r="J66" s="58">
        <f t="shared" si="3"/>
        <v>100000</v>
      </c>
      <c r="K66" s="34">
        <v>0</v>
      </c>
      <c r="L66" s="35">
        <v>0</v>
      </c>
      <c r="M66" s="58">
        <f t="shared" si="4"/>
        <v>0</v>
      </c>
      <c r="N66" s="36">
        <v>0</v>
      </c>
      <c r="O66" s="36">
        <v>12000</v>
      </c>
      <c r="P66" s="59">
        <v>5000</v>
      </c>
      <c r="Q66" s="60">
        <v>117000</v>
      </c>
      <c r="R66" s="61"/>
      <c r="S66" s="62">
        <f t="shared" si="5"/>
        <v>-117000</v>
      </c>
      <c r="T66" s="1"/>
      <c r="U66" s="1"/>
    </row>
    <row r="67" spans="1:21" ht="24.75" customHeight="1" x14ac:dyDescent="0.25">
      <c r="A67" s="1"/>
      <c r="B67" s="28" t="s">
        <v>163</v>
      </c>
      <c r="C67" s="28" t="s">
        <v>164</v>
      </c>
      <c r="D67" s="6" t="s">
        <v>73</v>
      </c>
      <c r="E67" s="33"/>
      <c r="F67" s="33" t="s">
        <v>160</v>
      </c>
      <c r="G67" s="56" t="s">
        <v>139</v>
      </c>
      <c r="H67" s="57">
        <v>6</v>
      </c>
      <c r="I67" s="35">
        <v>20000</v>
      </c>
      <c r="J67" s="58">
        <f t="shared" si="3"/>
        <v>120000</v>
      </c>
      <c r="K67" s="34">
        <v>0</v>
      </c>
      <c r="L67" s="35">
        <v>0</v>
      </c>
      <c r="M67" s="58">
        <f t="shared" si="4"/>
        <v>0</v>
      </c>
      <c r="N67" s="36">
        <v>0</v>
      </c>
      <c r="O67" s="36">
        <v>12000</v>
      </c>
      <c r="P67" s="59">
        <v>5000</v>
      </c>
      <c r="Q67" s="60">
        <v>137000</v>
      </c>
      <c r="R67" s="61"/>
      <c r="S67" s="62">
        <f t="shared" si="5"/>
        <v>-137000</v>
      </c>
      <c r="T67" s="1"/>
      <c r="U67" s="1"/>
    </row>
    <row r="68" spans="1:21" ht="24.75" customHeight="1" x14ac:dyDescent="0.25">
      <c r="A68" s="1"/>
      <c r="B68" s="28" t="s">
        <v>165</v>
      </c>
      <c r="C68" s="28" t="s">
        <v>166</v>
      </c>
      <c r="D68" s="6" t="s">
        <v>73</v>
      </c>
      <c r="E68" s="33"/>
      <c r="F68" s="33" t="s">
        <v>160</v>
      </c>
      <c r="G68" s="56" t="s">
        <v>139</v>
      </c>
      <c r="H68" s="57">
        <v>6</v>
      </c>
      <c r="I68" s="35">
        <v>20000</v>
      </c>
      <c r="J68" s="58">
        <f t="shared" si="3"/>
        <v>120000</v>
      </c>
      <c r="K68" s="34">
        <v>0</v>
      </c>
      <c r="L68" s="35">
        <v>0</v>
      </c>
      <c r="M68" s="58">
        <f t="shared" si="4"/>
        <v>0</v>
      </c>
      <c r="N68" s="36">
        <v>0</v>
      </c>
      <c r="O68" s="36">
        <v>12000</v>
      </c>
      <c r="P68" s="59">
        <v>5000</v>
      </c>
      <c r="Q68" s="60">
        <v>137000</v>
      </c>
      <c r="R68" s="61"/>
      <c r="S68" s="62">
        <f t="shared" si="5"/>
        <v>-137000</v>
      </c>
      <c r="T68" s="1"/>
      <c r="U68" s="1"/>
    </row>
    <row r="69" spans="1:21" ht="24.75" customHeight="1" x14ac:dyDescent="0.25">
      <c r="A69" s="1"/>
      <c r="B69" s="28" t="s">
        <v>167</v>
      </c>
      <c r="C69" s="28" t="s">
        <v>168</v>
      </c>
      <c r="D69" s="6" t="s">
        <v>73</v>
      </c>
      <c r="E69" s="33"/>
      <c r="F69" s="33" t="s">
        <v>160</v>
      </c>
      <c r="G69" s="56" t="s">
        <v>139</v>
      </c>
      <c r="H69" s="57">
        <v>5</v>
      </c>
      <c r="I69" s="35">
        <v>20000</v>
      </c>
      <c r="J69" s="58">
        <f t="shared" ref="J69:J100" si="6">H69*I69</f>
        <v>100000</v>
      </c>
      <c r="K69" s="34">
        <v>0</v>
      </c>
      <c r="L69" s="35">
        <v>0</v>
      </c>
      <c r="M69" s="58">
        <f t="shared" ref="M69:M100" si="7">K69*L69</f>
        <v>0</v>
      </c>
      <c r="N69" s="36">
        <v>0</v>
      </c>
      <c r="O69" s="36">
        <v>12000</v>
      </c>
      <c r="P69" s="59">
        <v>5000</v>
      </c>
      <c r="Q69" s="60">
        <v>117000</v>
      </c>
      <c r="R69" s="61"/>
      <c r="S69" s="62">
        <f t="shared" ref="S69:S100" si="8">R69-Q69</f>
        <v>-117000</v>
      </c>
      <c r="T69" s="1"/>
      <c r="U69" s="1"/>
    </row>
    <row r="70" spans="1:21" ht="24.75" customHeight="1" x14ac:dyDescent="0.25">
      <c r="A70" s="1"/>
      <c r="B70" s="28" t="s">
        <v>169</v>
      </c>
      <c r="C70" s="28" t="s">
        <v>170</v>
      </c>
      <c r="D70" s="6" t="s">
        <v>73</v>
      </c>
      <c r="E70" s="33"/>
      <c r="F70" s="33" t="s">
        <v>128</v>
      </c>
      <c r="G70" s="56" t="s">
        <v>139</v>
      </c>
      <c r="H70" s="57">
        <v>5</v>
      </c>
      <c r="I70" s="35">
        <v>20000</v>
      </c>
      <c r="J70" s="58">
        <f t="shared" si="6"/>
        <v>100000</v>
      </c>
      <c r="K70" s="34">
        <v>0</v>
      </c>
      <c r="L70" s="35">
        <v>0</v>
      </c>
      <c r="M70" s="58">
        <f t="shared" si="7"/>
        <v>0</v>
      </c>
      <c r="N70" s="36">
        <v>0</v>
      </c>
      <c r="O70" s="36">
        <v>12000</v>
      </c>
      <c r="P70" s="59">
        <v>5000</v>
      </c>
      <c r="Q70" s="60">
        <v>117000</v>
      </c>
      <c r="R70" s="61"/>
      <c r="S70" s="62">
        <f t="shared" si="8"/>
        <v>-117000</v>
      </c>
      <c r="T70" s="1"/>
      <c r="U70" s="1"/>
    </row>
    <row r="71" spans="1:21" ht="24.75" customHeight="1" x14ac:dyDescent="0.25">
      <c r="A71" s="1"/>
      <c r="B71" s="28" t="s">
        <v>171</v>
      </c>
      <c r="C71" s="28" t="s">
        <v>172</v>
      </c>
      <c r="D71" s="65" t="s">
        <v>27</v>
      </c>
      <c r="E71" s="33"/>
      <c r="F71" s="33" t="s">
        <v>128</v>
      </c>
      <c r="G71" s="56" t="s">
        <v>139</v>
      </c>
      <c r="H71" s="57">
        <v>8</v>
      </c>
      <c r="I71" s="35">
        <v>20000</v>
      </c>
      <c r="J71" s="58">
        <f t="shared" si="6"/>
        <v>160000</v>
      </c>
      <c r="K71" s="34">
        <v>0</v>
      </c>
      <c r="L71" s="35">
        <v>0</v>
      </c>
      <c r="M71" s="58">
        <f t="shared" si="7"/>
        <v>0</v>
      </c>
      <c r="N71" s="36">
        <v>0</v>
      </c>
      <c r="O71" s="36">
        <v>12000</v>
      </c>
      <c r="P71" s="59">
        <v>5000</v>
      </c>
      <c r="Q71" s="60">
        <v>177000</v>
      </c>
      <c r="R71" s="61">
        <v>167000</v>
      </c>
      <c r="S71" s="62">
        <f t="shared" si="8"/>
        <v>-10000</v>
      </c>
      <c r="T71" s="1"/>
      <c r="U71" s="1"/>
    </row>
    <row r="72" spans="1:21" ht="24.75" customHeight="1" x14ac:dyDescent="0.25">
      <c r="A72" s="1"/>
      <c r="B72" s="28" t="s">
        <v>173</v>
      </c>
      <c r="C72" s="28" t="s">
        <v>174</v>
      </c>
      <c r="D72" s="6" t="s">
        <v>73</v>
      </c>
      <c r="E72" s="33"/>
      <c r="F72" s="33" t="s">
        <v>128</v>
      </c>
      <c r="G72" s="56" t="s">
        <v>139</v>
      </c>
      <c r="H72" s="57">
        <v>6</v>
      </c>
      <c r="I72" s="35">
        <v>20000</v>
      </c>
      <c r="J72" s="58">
        <f t="shared" si="6"/>
        <v>120000</v>
      </c>
      <c r="K72" s="34">
        <v>0</v>
      </c>
      <c r="L72" s="35">
        <v>0</v>
      </c>
      <c r="M72" s="58">
        <f t="shared" si="7"/>
        <v>0</v>
      </c>
      <c r="N72" s="36">
        <v>0</v>
      </c>
      <c r="O72" s="36">
        <v>12000</v>
      </c>
      <c r="P72" s="59">
        <v>5000</v>
      </c>
      <c r="Q72" s="60">
        <v>137000</v>
      </c>
      <c r="R72" s="61"/>
      <c r="S72" s="62">
        <f t="shared" si="8"/>
        <v>-137000</v>
      </c>
      <c r="T72" s="1"/>
      <c r="U72" s="1"/>
    </row>
    <row r="73" spans="1:21" ht="24.75" customHeight="1" x14ac:dyDescent="0.25">
      <c r="A73" s="1"/>
      <c r="B73" s="28" t="s">
        <v>175</v>
      </c>
      <c r="C73" s="28" t="s">
        <v>176</v>
      </c>
      <c r="D73" s="64" t="s">
        <v>275</v>
      </c>
      <c r="E73" s="33"/>
      <c r="F73" s="33" t="s">
        <v>128</v>
      </c>
      <c r="G73" s="56" t="s">
        <v>139</v>
      </c>
      <c r="H73" s="57">
        <v>4</v>
      </c>
      <c r="I73" s="35">
        <v>20000</v>
      </c>
      <c r="J73" s="58">
        <f t="shared" si="6"/>
        <v>80000</v>
      </c>
      <c r="K73" s="34">
        <v>0</v>
      </c>
      <c r="L73" s="35">
        <v>0</v>
      </c>
      <c r="M73" s="58">
        <f t="shared" si="7"/>
        <v>0</v>
      </c>
      <c r="N73" s="36">
        <v>0</v>
      </c>
      <c r="O73" s="36">
        <v>12000</v>
      </c>
      <c r="P73" s="59">
        <v>5000</v>
      </c>
      <c r="Q73" s="60">
        <v>97000</v>
      </c>
      <c r="R73" s="61"/>
      <c r="S73" s="62">
        <f t="shared" si="8"/>
        <v>-97000</v>
      </c>
      <c r="T73" s="1"/>
      <c r="U73" s="1"/>
    </row>
    <row r="74" spans="1:21" ht="24.75" customHeight="1" x14ac:dyDescent="0.25">
      <c r="A74" s="1"/>
      <c r="B74" s="28" t="s">
        <v>177</v>
      </c>
      <c r="C74" s="28" t="s">
        <v>178</v>
      </c>
      <c r="D74" s="6" t="s">
        <v>73</v>
      </c>
      <c r="E74" s="33"/>
      <c r="F74" s="33" t="s">
        <v>128</v>
      </c>
      <c r="G74" s="56" t="s">
        <v>139</v>
      </c>
      <c r="H74" s="57">
        <v>6</v>
      </c>
      <c r="I74" s="35">
        <v>20000</v>
      </c>
      <c r="J74" s="58">
        <f t="shared" si="6"/>
        <v>120000</v>
      </c>
      <c r="K74" s="34">
        <v>0</v>
      </c>
      <c r="L74" s="35">
        <v>0</v>
      </c>
      <c r="M74" s="58">
        <f t="shared" si="7"/>
        <v>0</v>
      </c>
      <c r="N74" s="36">
        <v>0</v>
      </c>
      <c r="O74" s="36">
        <v>12000</v>
      </c>
      <c r="P74" s="59">
        <v>5000</v>
      </c>
      <c r="Q74" s="60">
        <v>137000</v>
      </c>
      <c r="R74" s="61"/>
      <c r="S74" s="62">
        <f t="shared" si="8"/>
        <v>-137000</v>
      </c>
      <c r="T74" s="1"/>
      <c r="U74" s="1"/>
    </row>
    <row r="75" spans="1:21" x14ac:dyDescent="0.25">
      <c r="A75" s="1"/>
      <c r="B75" s="28" t="s">
        <v>179</v>
      </c>
      <c r="C75" s="28" t="s">
        <v>180</v>
      </c>
      <c r="D75" s="6" t="s">
        <v>73</v>
      </c>
      <c r="E75" s="33"/>
      <c r="F75" s="33">
        <v>46179</v>
      </c>
      <c r="G75" s="56" t="s">
        <v>139</v>
      </c>
      <c r="H75" s="57">
        <v>6</v>
      </c>
      <c r="I75" s="35">
        <v>18000</v>
      </c>
      <c r="J75" s="58">
        <f t="shared" si="6"/>
        <v>108000</v>
      </c>
      <c r="K75" s="34">
        <v>0</v>
      </c>
      <c r="L75" s="35">
        <v>0</v>
      </c>
      <c r="M75" s="58">
        <f t="shared" si="7"/>
        <v>0</v>
      </c>
      <c r="N75" s="36">
        <v>0</v>
      </c>
      <c r="O75" s="36">
        <v>10000</v>
      </c>
      <c r="P75" s="59">
        <v>5000</v>
      </c>
      <c r="Q75" s="60">
        <v>123000</v>
      </c>
      <c r="R75" s="61"/>
      <c r="S75" s="62">
        <f t="shared" si="8"/>
        <v>-123000</v>
      </c>
      <c r="T75" s="1"/>
      <c r="U75" s="1"/>
    </row>
    <row r="76" spans="1:21" x14ac:dyDescent="0.25">
      <c r="A76" s="1"/>
      <c r="B76" s="28" t="s">
        <v>181</v>
      </c>
      <c r="C76" s="28" t="s">
        <v>182</v>
      </c>
      <c r="D76" s="6" t="s">
        <v>73</v>
      </c>
      <c r="E76" s="33"/>
      <c r="F76" s="33">
        <v>46179</v>
      </c>
      <c r="G76" s="56" t="s">
        <v>139</v>
      </c>
      <c r="H76" s="57">
        <v>8</v>
      </c>
      <c r="I76" s="35">
        <v>18000</v>
      </c>
      <c r="J76" s="58">
        <f t="shared" si="6"/>
        <v>144000</v>
      </c>
      <c r="K76" s="34">
        <v>0</v>
      </c>
      <c r="L76" s="35">
        <v>0</v>
      </c>
      <c r="M76" s="58">
        <f t="shared" si="7"/>
        <v>0</v>
      </c>
      <c r="N76" s="36">
        <v>0</v>
      </c>
      <c r="O76" s="36">
        <v>10000</v>
      </c>
      <c r="P76" s="59">
        <v>5000</v>
      </c>
      <c r="Q76" s="60">
        <v>159000</v>
      </c>
      <c r="R76" s="61"/>
      <c r="S76" s="62">
        <f t="shared" si="8"/>
        <v>-159000</v>
      </c>
      <c r="T76" s="1"/>
      <c r="U76" s="1"/>
    </row>
    <row r="77" spans="1:21" ht="24.75" customHeight="1" x14ac:dyDescent="0.25">
      <c r="A77" s="1"/>
      <c r="B77" s="28" t="s">
        <v>183</v>
      </c>
      <c r="C77" s="28" t="s">
        <v>184</v>
      </c>
      <c r="D77" s="64" t="s">
        <v>275</v>
      </c>
      <c r="E77" s="33"/>
      <c r="F77" s="33">
        <v>46179</v>
      </c>
      <c r="G77" s="56" t="s">
        <v>139</v>
      </c>
      <c r="H77" s="57">
        <v>5</v>
      </c>
      <c r="I77" s="35">
        <v>18000</v>
      </c>
      <c r="J77" s="58">
        <f t="shared" si="6"/>
        <v>90000</v>
      </c>
      <c r="K77" s="34">
        <v>0</v>
      </c>
      <c r="L77" s="35">
        <v>0</v>
      </c>
      <c r="M77" s="58">
        <f t="shared" si="7"/>
        <v>0</v>
      </c>
      <c r="N77" s="36">
        <v>0</v>
      </c>
      <c r="O77" s="36">
        <v>10000</v>
      </c>
      <c r="P77" s="59">
        <v>5000</v>
      </c>
      <c r="Q77" s="60">
        <v>105000</v>
      </c>
      <c r="R77" s="61"/>
      <c r="S77" s="62">
        <f t="shared" si="8"/>
        <v>-105000</v>
      </c>
      <c r="T77" s="1"/>
      <c r="U77" s="1"/>
    </row>
    <row r="78" spans="1:21" x14ac:dyDescent="0.25">
      <c r="A78" s="1"/>
      <c r="B78" s="28" t="s">
        <v>185</v>
      </c>
      <c r="C78" s="28" t="s">
        <v>186</v>
      </c>
      <c r="D78" s="64" t="s">
        <v>275</v>
      </c>
      <c r="E78" s="33"/>
      <c r="F78" s="33">
        <v>46179</v>
      </c>
      <c r="G78" s="56" t="s">
        <v>139</v>
      </c>
      <c r="H78" s="57">
        <v>6</v>
      </c>
      <c r="I78" s="35">
        <v>18000</v>
      </c>
      <c r="J78" s="58">
        <f t="shared" si="6"/>
        <v>108000</v>
      </c>
      <c r="K78" s="34">
        <v>0</v>
      </c>
      <c r="L78" s="35">
        <v>0</v>
      </c>
      <c r="M78" s="58">
        <f t="shared" si="7"/>
        <v>0</v>
      </c>
      <c r="N78" s="36">
        <v>0</v>
      </c>
      <c r="O78" s="36">
        <v>10000</v>
      </c>
      <c r="P78" s="59">
        <v>5000</v>
      </c>
      <c r="Q78" s="60">
        <v>123000</v>
      </c>
      <c r="R78" s="61"/>
      <c r="S78" s="62">
        <f t="shared" si="8"/>
        <v>-123000</v>
      </c>
      <c r="T78" s="1"/>
      <c r="U78" s="1"/>
    </row>
    <row r="79" spans="1:21" ht="24.75" customHeight="1" x14ac:dyDescent="0.25">
      <c r="A79" s="1"/>
      <c r="B79" s="28" t="s">
        <v>187</v>
      </c>
      <c r="C79" s="28" t="s">
        <v>188</v>
      </c>
      <c r="D79" s="64" t="s">
        <v>275</v>
      </c>
      <c r="E79" s="33"/>
      <c r="F79" s="33">
        <v>46179</v>
      </c>
      <c r="G79" s="56" t="s">
        <v>139</v>
      </c>
      <c r="H79" s="57">
        <v>10</v>
      </c>
      <c r="I79" s="35">
        <v>18000</v>
      </c>
      <c r="J79" s="58">
        <f t="shared" si="6"/>
        <v>180000</v>
      </c>
      <c r="K79" s="34">
        <v>0</v>
      </c>
      <c r="L79" s="35">
        <v>0</v>
      </c>
      <c r="M79" s="58">
        <f t="shared" si="7"/>
        <v>0</v>
      </c>
      <c r="N79" s="36">
        <v>0</v>
      </c>
      <c r="O79" s="36">
        <v>10000</v>
      </c>
      <c r="P79" s="59">
        <v>5000</v>
      </c>
      <c r="Q79" s="60">
        <v>195000</v>
      </c>
      <c r="R79" s="61"/>
      <c r="S79" s="62">
        <f t="shared" si="8"/>
        <v>-195000</v>
      </c>
      <c r="T79" s="1"/>
      <c r="U79" s="1"/>
    </row>
    <row r="80" spans="1:21" ht="24.75" customHeight="1" x14ac:dyDescent="0.25">
      <c r="A80" s="1"/>
      <c r="B80" s="28" t="s">
        <v>189</v>
      </c>
      <c r="C80" s="28" t="s">
        <v>190</v>
      </c>
      <c r="D80" s="64" t="s">
        <v>275</v>
      </c>
      <c r="E80" s="33"/>
      <c r="F80" s="33" t="s">
        <v>139</v>
      </c>
      <c r="G80" s="56" t="s">
        <v>139</v>
      </c>
      <c r="H80" s="57">
        <v>12</v>
      </c>
      <c r="I80" s="35">
        <v>18000</v>
      </c>
      <c r="J80" s="58">
        <f t="shared" si="6"/>
        <v>216000</v>
      </c>
      <c r="K80" s="34">
        <v>0</v>
      </c>
      <c r="L80" s="35">
        <v>0</v>
      </c>
      <c r="M80" s="58">
        <f t="shared" si="7"/>
        <v>0</v>
      </c>
      <c r="N80" s="36">
        <v>0</v>
      </c>
      <c r="O80" s="36">
        <v>10000</v>
      </c>
      <c r="P80" s="59">
        <v>5000</v>
      </c>
      <c r="Q80" s="60">
        <v>231000</v>
      </c>
      <c r="R80" s="61"/>
      <c r="S80" s="62">
        <f t="shared" si="8"/>
        <v>-231000</v>
      </c>
      <c r="T80" s="1"/>
      <c r="U80" s="1"/>
    </row>
    <row r="81" spans="1:21" ht="24.75" customHeight="1" x14ac:dyDescent="0.25">
      <c r="A81" s="1"/>
      <c r="B81" s="28" t="s">
        <v>191</v>
      </c>
      <c r="C81" s="28" t="s">
        <v>192</v>
      </c>
      <c r="D81" s="6" t="s">
        <v>73</v>
      </c>
      <c r="E81" s="33"/>
      <c r="F81" s="33" t="s">
        <v>139</v>
      </c>
      <c r="G81" s="56" t="s">
        <v>139</v>
      </c>
      <c r="H81" s="57">
        <v>8</v>
      </c>
      <c r="I81" s="35">
        <v>18000</v>
      </c>
      <c r="J81" s="58">
        <f t="shared" si="6"/>
        <v>144000</v>
      </c>
      <c r="K81" s="34">
        <v>0</v>
      </c>
      <c r="L81" s="35">
        <v>0</v>
      </c>
      <c r="M81" s="58">
        <f t="shared" si="7"/>
        <v>0</v>
      </c>
      <c r="N81" s="36">
        <v>0</v>
      </c>
      <c r="O81" s="36">
        <v>10000</v>
      </c>
      <c r="P81" s="59">
        <v>5000</v>
      </c>
      <c r="Q81" s="60">
        <v>159000</v>
      </c>
      <c r="R81" s="61"/>
      <c r="S81" s="62">
        <f t="shared" si="8"/>
        <v>-159000</v>
      </c>
      <c r="T81" s="1"/>
      <c r="U81" s="1"/>
    </row>
    <row r="82" spans="1:21" ht="24.75" customHeight="1" x14ac:dyDescent="0.25">
      <c r="A82" s="1"/>
      <c r="B82" s="28" t="s">
        <v>193</v>
      </c>
      <c r="C82" s="28" t="s">
        <v>194</v>
      </c>
      <c r="D82" s="6" t="s">
        <v>73</v>
      </c>
      <c r="E82" s="33"/>
      <c r="F82" s="33" t="s">
        <v>139</v>
      </c>
      <c r="G82" s="56" t="s">
        <v>139</v>
      </c>
      <c r="H82" s="57">
        <v>8</v>
      </c>
      <c r="I82" s="35">
        <v>18000</v>
      </c>
      <c r="J82" s="58">
        <f t="shared" si="6"/>
        <v>144000</v>
      </c>
      <c r="K82" s="34">
        <v>0</v>
      </c>
      <c r="L82" s="35">
        <v>0</v>
      </c>
      <c r="M82" s="58">
        <f t="shared" si="7"/>
        <v>0</v>
      </c>
      <c r="N82" s="36">
        <v>0</v>
      </c>
      <c r="O82" s="36">
        <v>10000</v>
      </c>
      <c r="P82" s="59">
        <v>5000</v>
      </c>
      <c r="Q82" s="60">
        <v>159000</v>
      </c>
      <c r="R82" s="61"/>
      <c r="S82" s="62">
        <f t="shared" si="8"/>
        <v>-159000</v>
      </c>
      <c r="T82" s="1"/>
      <c r="U82" s="1"/>
    </row>
    <row r="83" spans="1:21" ht="24.75" customHeight="1" x14ac:dyDescent="0.25">
      <c r="A83" s="1"/>
      <c r="B83" s="28" t="s">
        <v>195</v>
      </c>
      <c r="C83" s="28" t="s">
        <v>196</v>
      </c>
      <c r="D83" s="6" t="s">
        <v>73</v>
      </c>
      <c r="E83" s="33"/>
      <c r="F83" s="33" t="s">
        <v>139</v>
      </c>
      <c r="G83" s="56" t="s">
        <v>139</v>
      </c>
      <c r="H83" s="57">
        <v>6</v>
      </c>
      <c r="I83" s="35">
        <v>18000</v>
      </c>
      <c r="J83" s="58">
        <f t="shared" si="6"/>
        <v>108000</v>
      </c>
      <c r="K83" s="34">
        <v>0</v>
      </c>
      <c r="L83" s="35">
        <v>0</v>
      </c>
      <c r="M83" s="58">
        <f t="shared" si="7"/>
        <v>0</v>
      </c>
      <c r="N83" s="36">
        <v>0</v>
      </c>
      <c r="O83" s="36">
        <v>10000</v>
      </c>
      <c r="P83" s="59">
        <v>5000</v>
      </c>
      <c r="Q83" s="60">
        <v>123000</v>
      </c>
      <c r="R83" s="61"/>
      <c r="S83" s="62">
        <f t="shared" si="8"/>
        <v>-123000</v>
      </c>
      <c r="T83" s="1"/>
      <c r="U83" s="1"/>
    </row>
    <row r="84" spans="1:21" ht="24.75" customHeight="1" x14ac:dyDescent="0.25">
      <c r="A84" s="1"/>
      <c r="B84" s="28" t="s">
        <v>197</v>
      </c>
      <c r="C84" s="28" t="s">
        <v>198</v>
      </c>
      <c r="D84" s="6" t="s">
        <v>73</v>
      </c>
      <c r="E84" s="33"/>
      <c r="F84" s="33" t="s">
        <v>139</v>
      </c>
      <c r="G84" s="56" t="s">
        <v>139</v>
      </c>
      <c r="H84" s="57">
        <v>10</v>
      </c>
      <c r="I84" s="35">
        <v>18000</v>
      </c>
      <c r="J84" s="58">
        <f t="shared" si="6"/>
        <v>180000</v>
      </c>
      <c r="K84" s="34">
        <v>0</v>
      </c>
      <c r="L84" s="35">
        <v>0</v>
      </c>
      <c r="M84" s="58">
        <f t="shared" si="7"/>
        <v>0</v>
      </c>
      <c r="N84" s="36">
        <v>0</v>
      </c>
      <c r="O84" s="36">
        <v>10000</v>
      </c>
      <c r="P84" s="59">
        <v>5000</v>
      </c>
      <c r="Q84" s="60">
        <v>195000</v>
      </c>
      <c r="R84" s="61"/>
      <c r="S84" s="62">
        <f t="shared" si="8"/>
        <v>-195000</v>
      </c>
      <c r="T84" s="1"/>
      <c r="U84" s="1"/>
    </row>
    <row r="85" spans="1:21" ht="27" x14ac:dyDescent="0.25">
      <c r="A85" s="1"/>
      <c r="B85" s="28" t="s">
        <v>199</v>
      </c>
      <c r="C85" s="28" t="s">
        <v>200</v>
      </c>
      <c r="D85" s="6" t="s">
        <v>73</v>
      </c>
      <c r="E85" s="33"/>
      <c r="F85" s="33" t="s">
        <v>201</v>
      </c>
      <c r="G85" s="56" t="s">
        <v>139</v>
      </c>
      <c r="H85" s="57">
        <v>6</v>
      </c>
      <c r="I85" s="35">
        <v>18000</v>
      </c>
      <c r="J85" s="58">
        <f t="shared" si="6"/>
        <v>108000</v>
      </c>
      <c r="K85" s="34">
        <v>0</v>
      </c>
      <c r="L85" s="35">
        <v>0</v>
      </c>
      <c r="M85" s="58">
        <f t="shared" si="7"/>
        <v>0</v>
      </c>
      <c r="N85" s="36">
        <v>0</v>
      </c>
      <c r="O85" s="36">
        <v>10000</v>
      </c>
      <c r="P85" s="59">
        <v>5000</v>
      </c>
      <c r="Q85" s="60">
        <v>123000</v>
      </c>
      <c r="R85" s="61"/>
      <c r="S85" s="62">
        <f t="shared" si="8"/>
        <v>-123000</v>
      </c>
      <c r="T85" s="1"/>
      <c r="U85" s="1"/>
    </row>
    <row r="86" spans="1:21" ht="27" x14ac:dyDescent="0.25">
      <c r="A86" s="1"/>
      <c r="B86" s="28" t="s">
        <v>165</v>
      </c>
      <c r="C86" s="28" t="s">
        <v>202</v>
      </c>
      <c r="D86" s="6" t="s">
        <v>73</v>
      </c>
      <c r="E86" s="33"/>
      <c r="F86" s="33" t="s">
        <v>201</v>
      </c>
      <c r="G86" s="56" t="s">
        <v>139</v>
      </c>
      <c r="H86" s="57">
        <v>6</v>
      </c>
      <c r="I86" s="35">
        <v>18000</v>
      </c>
      <c r="J86" s="58">
        <f t="shared" si="6"/>
        <v>108000</v>
      </c>
      <c r="K86" s="34">
        <v>0</v>
      </c>
      <c r="L86" s="35">
        <v>0</v>
      </c>
      <c r="M86" s="58">
        <f t="shared" si="7"/>
        <v>0</v>
      </c>
      <c r="N86" s="36">
        <v>0</v>
      </c>
      <c r="O86" s="36">
        <v>10000</v>
      </c>
      <c r="P86" s="59">
        <v>5000</v>
      </c>
      <c r="Q86" s="60">
        <v>123000</v>
      </c>
      <c r="R86" s="61"/>
      <c r="S86" s="62">
        <f t="shared" si="8"/>
        <v>-123000</v>
      </c>
      <c r="T86" s="1"/>
      <c r="U86" s="1"/>
    </row>
    <row r="87" spans="1:21" ht="24.75" customHeight="1" x14ac:dyDescent="0.25">
      <c r="A87" s="1"/>
      <c r="B87" s="28" t="s">
        <v>203</v>
      </c>
      <c r="C87" s="28" t="s">
        <v>204</v>
      </c>
      <c r="D87" s="6" t="s">
        <v>73</v>
      </c>
      <c r="E87" s="33"/>
      <c r="F87" s="33" t="s">
        <v>201</v>
      </c>
      <c r="G87" s="56" t="s">
        <v>139</v>
      </c>
      <c r="H87" s="57">
        <v>8</v>
      </c>
      <c r="I87" s="35">
        <v>18000</v>
      </c>
      <c r="J87" s="58">
        <f t="shared" si="6"/>
        <v>144000</v>
      </c>
      <c r="K87" s="34">
        <v>0</v>
      </c>
      <c r="L87" s="35">
        <v>0</v>
      </c>
      <c r="M87" s="58">
        <f t="shared" si="7"/>
        <v>0</v>
      </c>
      <c r="N87" s="36">
        <v>0</v>
      </c>
      <c r="O87" s="36">
        <v>10000</v>
      </c>
      <c r="P87" s="59">
        <v>5000</v>
      </c>
      <c r="Q87" s="60">
        <v>159000</v>
      </c>
      <c r="R87" s="61"/>
      <c r="S87" s="62">
        <f t="shared" si="8"/>
        <v>-159000</v>
      </c>
      <c r="T87" s="1"/>
      <c r="U87" s="1"/>
    </row>
    <row r="88" spans="1:21" ht="27" x14ac:dyDescent="0.25">
      <c r="A88" s="1"/>
      <c r="B88" s="28" t="s">
        <v>205</v>
      </c>
      <c r="C88" s="28" t="s">
        <v>206</v>
      </c>
      <c r="D88" s="6" t="s">
        <v>73</v>
      </c>
      <c r="E88" s="33"/>
      <c r="F88" s="33" t="s">
        <v>201</v>
      </c>
      <c r="G88" s="56" t="s">
        <v>139</v>
      </c>
      <c r="H88" s="57">
        <v>6</v>
      </c>
      <c r="I88" s="35">
        <v>18000</v>
      </c>
      <c r="J88" s="58">
        <f t="shared" si="6"/>
        <v>108000</v>
      </c>
      <c r="K88" s="34">
        <v>0</v>
      </c>
      <c r="L88" s="35">
        <v>0</v>
      </c>
      <c r="M88" s="58">
        <f t="shared" si="7"/>
        <v>0</v>
      </c>
      <c r="N88" s="36">
        <v>0</v>
      </c>
      <c r="O88" s="36">
        <v>10000</v>
      </c>
      <c r="P88" s="59">
        <v>5000</v>
      </c>
      <c r="Q88" s="60">
        <v>123000</v>
      </c>
      <c r="R88" s="61"/>
      <c r="S88" s="62">
        <f t="shared" si="8"/>
        <v>-123000</v>
      </c>
      <c r="T88" s="1"/>
      <c r="U88" s="1"/>
    </row>
    <row r="89" spans="1:21" ht="24.75" customHeight="1" x14ac:dyDescent="0.25">
      <c r="A89" s="1"/>
      <c r="B89" s="28" t="s">
        <v>207</v>
      </c>
      <c r="C89" s="28" t="s">
        <v>208</v>
      </c>
      <c r="D89" s="6" t="s">
        <v>73</v>
      </c>
      <c r="E89" s="33"/>
      <c r="F89" s="33" t="s">
        <v>201</v>
      </c>
      <c r="G89" s="56" t="s">
        <v>139</v>
      </c>
      <c r="H89" s="57">
        <v>5</v>
      </c>
      <c r="I89" s="35">
        <v>18000</v>
      </c>
      <c r="J89" s="58">
        <f t="shared" si="6"/>
        <v>90000</v>
      </c>
      <c r="K89" s="34">
        <v>0</v>
      </c>
      <c r="L89" s="35">
        <v>0</v>
      </c>
      <c r="M89" s="58">
        <f t="shared" si="7"/>
        <v>0</v>
      </c>
      <c r="N89" s="36">
        <v>0</v>
      </c>
      <c r="O89" s="36">
        <v>10000</v>
      </c>
      <c r="P89" s="59">
        <v>5000</v>
      </c>
      <c r="Q89" s="60">
        <v>105000</v>
      </c>
      <c r="R89" s="61"/>
      <c r="S89" s="62">
        <f t="shared" si="8"/>
        <v>-105000</v>
      </c>
      <c r="T89" s="1"/>
      <c r="U89" s="1"/>
    </row>
    <row r="90" spans="1:21" ht="24.75" customHeight="1" x14ac:dyDescent="0.25">
      <c r="A90" s="1"/>
      <c r="B90" s="28" t="s">
        <v>209</v>
      </c>
      <c r="C90" s="28" t="s">
        <v>210</v>
      </c>
      <c r="D90" s="6" t="s">
        <v>73</v>
      </c>
      <c r="E90" s="33"/>
      <c r="F90" s="33" t="s">
        <v>211</v>
      </c>
      <c r="G90" s="56" t="s">
        <v>139</v>
      </c>
      <c r="H90" s="57">
        <v>5</v>
      </c>
      <c r="I90" s="35">
        <v>18000</v>
      </c>
      <c r="J90" s="58">
        <f t="shared" si="6"/>
        <v>90000</v>
      </c>
      <c r="K90" s="34">
        <v>0</v>
      </c>
      <c r="L90" s="35">
        <v>0</v>
      </c>
      <c r="M90" s="58">
        <f t="shared" si="7"/>
        <v>0</v>
      </c>
      <c r="N90" s="36">
        <v>0</v>
      </c>
      <c r="O90" s="36">
        <v>10000</v>
      </c>
      <c r="P90" s="59">
        <v>5000</v>
      </c>
      <c r="Q90" s="60">
        <v>105000</v>
      </c>
      <c r="R90" s="61"/>
      <c r="S90" s="62">
        <f t="shared" si="8"/>
        <v>-105000</v>
      </c>
      <c r="T90" s="1"/>
      <c r="U90" s="1"/>
    </row>
    <row r="91" spans="1:21" ht="24.75" customHeight="1" x14ac:dyDescent="0.25">
      <c r="A91" s="1"/>
      <c r="B91" s="28" t="s">
        <v>212</v>
      </c>
      <c r="C91" s="28" t="s">
        <v>213</v>
      </c>
      <c r="D91" s="6" t="s">
        <v>73</v>
      </c>
      <c r="E91" s="33"/>
      <c r="F91" s="33" t="s">
        <v>214</v>
      </c>
      <c r="G91" s="56" t="s">
        <v>139</v>
      </c>
      <c r="H91" s="57">
        <v>6</v>
      </c>
      <c r="I91" s="35">
        <v>15000</v>
      </c>
      <c r="J91" s="58">
        <f t="shared" si="6"/>
        <v>90000</v>
      </c>
      <c r="K91" s="34">
        <v>0</v>
      </c>
      <c r="L91" s="35">
        <v>0</v>
      </c>
      <c r="M91" s="58">
        <f t="shared" si="7"/>
        <v>0</v>
      </c>
      <c r="N91" s="36">
        <v>0</v>
      </c>
      <c r="O91" s="36">
        <v>10000</v>
      </c>
      <c r="P91" s="59">
        <v>5000</v>
      </c>
      <c r="Q91" s="60">
        <v>105000</v>
      </c>
      <c r="R91" s="61"/>
      <c r="S91" s="62">
        <f t="shared" si="8"/>
        <v>-105000</v>
      </c>
      <c r="T91" s="1"/>
      <c r="U91" s="1"/>
    </row>
    <row r="92" spans="1:21" ht="24.75" customHeight="1" x14ac:dyDescent="0.25">
      <c r="A92" s="1"/>
      <c r="B92" s="28" t="s">
        <v>215</v>
      </c>
      <c r="C92" s="28" t="s">
        <v>216</v>
      </c>
      <c r="D92" s="6" t="s">
        <v>73</v>
      </c>
      <c r="E92" s="33"/>
      <c r="F92" s="33" t="s">
        <v>217</v>
      </c>
      <c r="G92" s="56" t="s">
        <v>139</v>
      </c>
      <c r="H92" s="57">
        <v>6</v>
      </c>
      <c r="I92" s="35">
        <v>15000</v>
      </c>
      <c r="J92" s="58">
        <f t="shared" si="6"/>
        <v>90000</v>
      </c>
      <c r="K92" s="34">
        <v>0</v>
      </c>
      <c r="L92" s="35">
        <v>0</v>
      </c>
      <c r="M92" s="58">
        <f t="shared" si="7"/>
        <v>0</v>
      </c>
      <c r="N92" s="36">
        <v>0</v>
      </c>
      <c r="O92" s="36">
        <v>10000</v>
      </c>
      <c r="P92" s="59">
        <v>5000</v>
      </c>
      <c r="Q92" s="60">
        <v>105000</v>
      </c>
      <c r="R92" s="61"/>
      <c r="S92" s="62">
        <f t="shared" si="8"/>
        <v>-105000</v>
      </c>
      <c r="T92" s="1"/>
      <c r="U92" s="1"/>
    </row>
    <row r="93" spans="1:21" ht="24.75" customHeight="1" x14ac:dyDescent="0.25">
      <c r="A93" s="1"/>
      <c r="B93" s="28" t="s">
        <v>218</v>
      </c>
      <c r="C93" s="28" t="s">
        <v>219</v>
      </c>
      <c r="D93" s="6" t="s">
        <v>73</v>
      </c>
      <c r="E93" s="33"/>
      <c r="F93" s="33" t="s">
        <v>220</v>
      </c>
      <c r="G93" s="56" t="s">
        <v>139</v>
      </c>
      <c r="H93" s="57">
        <v>8</v>
      </c>
      <c r="I93" s="35">
        <v>15000</v>
      </c>
      <c r="J93" s="58">
        <f t="shared" si="6"/>
        <v>120000</v>
      </c>
      <c r="K93" s="34">
        <v>0</v>
      </c>
      <c r="L93" s="35">
        <v>0</v>
      </c>
      <c r="M93" s="58">
        <f t="shared" si="7"/>
        <v>0</v>
      </c>
      <c r="N93" s="36">
        <v>0</v>
      </c>
      <c r="O93" s="36">
        <v>10000</v>
      </c>
      <c r="P93" s="59">
        <v>5000</v>
      </c>
      <c r="Q93" s="60">
        <v>135000</v>
      </c>
      <c r="R93" s="61"/>
      <c r="S93" s="62">
        <f t="shared" si="8"/>
        <v>-135000</v>
      </c>
      <c r="T93" s="1"/>
      <c r="U93" s="1"/>
    </row>
    <row r="94" spans="1:21" ht="24.75" customHeight="1" x14ac:dyDescent="0.25">
      <c r="A94" s="1"/>
      <c r="B94" s="28" t="s">
        <v>221</v>
      </c>
      <c r="C94" s="28" t="s">
        <v>222</v>
      </c>
      <c r="D94" s="6" t="s">
        <v>73</v>
      </c>
      <c r="E94" s="33"/>
      <c r="F94" s="33" t="s">
        <v>128</v>
      </c>
      <c r="G94" s="56" t="s">
        <v>139</v>
      </c>
      <c r="H94" s="57">
        <v>8</v>
      </c>
      <c r="I94" s="35">
        <v>15000</v>
      </c>
      <c r="J94" s="58">
        <f t="shared" si="6"/>
        <v>120000</v>
      </c>
      <c r="K94" s="34">
        <v>0</v>
      </c>
      <c r="L94" s="35">
        <v>0</v>
      </c>
      <c r="M94" s="58">
        <f t="shared" si="7"/>
        <v>0</v>
      </c>
      <c r="N94" s="36">
        <v>0</v>
      </c>
      <c r="O94" s="36">
        <v>10000</v>
      </c>
      <c r="P94" s="59">
        <v>5000</v>
      </c>
      <c r="Q94" s="60">
        <v>135000</v>
      </c>
      <c r="R94" s="61"/>
      <c r="S94" s="62">
        <f t="shared" si="8"/>
        <v>-135000</v>
      </c>
      <c r="T94" s="1"/>
      <c r="U94" s="1"/>
    </row>
    <row r="95" spans="1:21" ht="24.75" customHeight="1" x14ac:dyDescent="0.25">
      <c r="A95" s="1"/>
      <c r="B95" s="28" t="s">
        <v>223</v>
      </c>
      <c r="C95" s="28" t="s">
        <v>224</v>
      </c>
      <c r="D95" s="6" t="s">
        <v>73</v>
      </c>
      <c r="E95" s="33"/>
      <c r="F95" s="33" t="s">
        <v>225</v>
      </c>
      <c r="G95" s="56" t="s">
        <v>139</v>
      </c>
      <c r="H95" s="57">
        <v>6</v>
      </c>
      <c r="I95" s="35">
        <v>15000</v>
      </c>
      <c r="J95" s="58">
        <f t="shared" si="6"/>
        <v>90000</v>
      </c>
      <c r="K95" s="34">
        <v>0</v>
      </c>
      <c r="L95" s="35">
        <v>0</v>
      </c>
      <c r="M95" s="58">
        <f t="shared" si="7"/>
        <v>0</v>
      </c>
      <c r="N95" s="36">
        <v>0</v>
      </c>
      <c r="O95" s="36">
        <v>10000</v>
      </c>
      <c r="P95" s="59">
        <v>5000</v>
      </c>
      <c r="Q95" s="60">
        <v>105000</v>
      </c>
      <c r="R95" s="61"/>
      <c r="S95" s="62">
        <f t="shared" si="8"/>
        <v>-105000</v>
      </c>
      <c r="T95" s="1"/>
      <c r="U95" s="1"/>
    </row>
    <row r="96" spans="1:21" ht="27" x14ac:dyDescent="0.25">
      <c r="A96" s="1"/>
      <c r="B96" s="28" t="s">
        <v>226</v>
      </c>
      <c r="C96" s="28" t="s">
        <v>227</v>
      </c>
      <c r="D96" s="6" t="s">
        <v>73</v>
      </c>
      <c r="E96" s="33"/>
      <c r="F96" s="33">
        <v>46028</v>
      </c>
      <c r="G96" s="56" t="s">
        <v>139</v>
      </c>
      <c r="H96" s="57">
        <v>6</v>
      </c>
      <c r="I96" s="35">
        <v>15000</v>
      </c>
      <c r="J96" s="58">
        <f t="shared" si="6"/>
        <v>90000</v>
      </c>
      <c r="K96" s="34">
        <v>0</v>
      </c>
      <c r="L96" s="35">
        <v>0</v>
      </c>
      <c r="M96" s="58">
        <f t="shared" si="7"/>
        <v>0</v>
      </c>
      <c r="N96" s="36">
        <v>0</v>
      </c>
      <c r="O96" s="36">
        <v>10000</v>
      </c>
      <c r="P96" s="59">
        <v>5000</v>
      </c>
      <c r="Q96" s="60">
        <v>105000</v>
      </c>
      <c r="R96" s="61"/>
      <c r="S96" s="62">
        <f t="shared" si="8"/>
        <v>-105000</v>
      </c>
      <c r="T96" s="1"/>
      <c r="U96" s="1"/>
    </row>
    <row r="97" spans="1:21" ht="24.75" customHeight="1" x14ac:dyDescent="0.25">
      <c r="A97" s="1"/>
      <c r="B97" s="28" t="s">
        <v>228</v>
      </c>
      <c r="C97" s="28" t="s">
        <v>229</v>
      </c>
      <c r="D97" s="6" t="s">
        <v>73</v>
      </c>
      <c r="E97" s="33"/>
      <c r="F97" s="33">
        <v>46059</v>
      </c>
      <c r="G97" s="56" t="s">
        <v>139</v>
      </c>
      <c r="H97" s="57">
        <v>5</v>
      </c>
      <c r="I97" s="35">
        <v>15000</v>
      </c>
      <c r="J97" s="58">
        <f t="shared" si="6"/>
        <v>75000</v>
      </c>
      <c r="K97" s="34">
        <v>0</v>
      </c>
      <c r="L97" s="35">
        <v>0</v>
      </c>
      <c r="M97" s="58">
        <f t="shared" si="7"/>
        <v>0</v>
      </c>
      <c r="N97" s="36">
        <v>0</v>
      </c>
      <c r="O97" s="36">
        <v>10000</v>
      </c>
      <c r="P97" s="59">
        <v>5000</v>
      </c>
      <c r="Q97" s="60">
        <v>90000</v>
      </c>
      <c r="R97" s="61"/>
      <c r="S97" s="62">
        <f t="shared" si="8"/>
        <v>-90000</v>
      </c>
      <c r="T97" s="1"/>
      <c r="U97" s="1"/>
    </row>
    <row r="98" spans="1:21" ht="24.75" customHeight="1" x14ac:dyDescent="0.25">
      <c r="A98" s="1"/>
      <c r="B98" s="28" t="s">
        <v>230</v>
      </c>
      <c r="C98" s="28" t="s">
        <v>231</v>
      </c>
      <c r="D98" s="6" t="s">
        <v>73</v>
      </c>
      <c r="E98" s="33"/>
      <c r="F98" s="33">
        <v>46087</v>
      </c>
      <c r="G98" s="56" t="s">
        <v>139</v>
      </c>
      <c r="H98" s="57">
        <v>5</v>
      </c>
      <c r="I98" s="35">
        <v>15000</v>
      </c>
      <c r="J98" s="58">
        <f t="shared" si="6"/>
        <v>75000</v>
      </c>
      <c r="K98" s="34">
        <v>0</v>
      </c>
      <c r="L98" s="35">
        <v>0</v>
      </c>
      <c r="M98" s="58">
        <f t="shared" si="7"/>
        <v>0</v>
      </c>
      <c r="N98" s="36">
        <v>0</v>
      </c>
      <c r="O98" s="36">
        <v>10000</v>
      </c>
      <c r="P98" s="59">
        <v>5000</v>
      </c>
      <c r="Q98" s="60">
        <v>90000</v>
      </c>
      <c r="R98" s="61"/>
      <c r="S98" s="62">
        <f t="shared" si="8"/>
        <v>-90000</v>
      </c>
      <c r="T98" s="1"/>
      <c r="U98" s="1"/>
    </row>
    <row r="99" spans="1:21" x14ac:dyDescent="0.25">
      <c r="A99" s="1"/>
      <c r="B99" s="28" t="s">
        <v>199</v>
      </c>
      <c r="C99" s="28" t="s">
        <v>232</v>
      </c>
      <c r="D99" s="6" t="s">
        <v>73</v>
      </c>
      <c r="E99" s="33"/>
      <c r="F99" s="33">
        <v>46118</v>
      </c>
      <c r="G99" s="56" t="s">
        <v>139</v>
      </c>
      <c r="H99" s="57">
        <v>5</v>
      </c>
      <c r="I99" s="35">
        <v>15000</v>
      </c>
      <c r="J99" s="58">
        <f t="shared" si="6"/>
        <v>75000</v>
      </c>
      <c r="K99" s="34">
        <v>0</v>
      </c>
      <c r="L99" s="35">
        <v>0</v>
      </c>
      <c r="M99" s="58">
        <f t="shared" si="7"/>
        <v>0</v>
      </c>
      <c r="N99" s="36">
        <v>0</v>
      </c>
      <c r="O99" s="36">
        <v>10000</v>
      </c>
      <c r="P99" s="59">
        <v>5000</v>
      </c>
      <c r="Q99" s="60">
        <v>90000</v>
      </c>
      <c r="R99" s="61"/>
      <c r="S99" s="62">
        <f t="shared" si="8"/>
        <v>-90000</v>
      </c>
      <c r="T99" s="1"/>
      <c r="U99" s="1"/>
    </row>
    <row r="100" spans="1:21" ht="24.75" customHeight="1" x14ac:dyDescent="0.25">
      <c r="A100" s="1"/>
      <c r="B100" s="28" t="s">
        <v>197</v>
      </c>
      <c r="C100" s="28" t="s">
        <v>233</v>
      </c>
      <c r="D100" s="6" t="s">
        <v>73</v>
      </c>
      <c r="E100" s="33"/>
      <c r="F100" s="33">
        <v>46148</v>
      </c>
      <c r="G100" s="56" t="s">
        <v>139</v>
      </c>
      <c r="H100" s="57">
        <v>6</v>
      </c>
      <c r="I100" s="35">
        <v>15000</v>
      </c>
      <c r="J100" s="58">
        <f t="shared" si="6"/>
        <v>90000</v>
      </c>
      <c r="K100" s="34">
        <v>0</v>
      </c>
      <c r="L100" s="35">
        <v>0</v>
      </c>
      <c r="M100" s="58">
        <f t="shared" si="7"/>
        <v>0</v>
      </c>
      <c r="N100" s="36">
        <v>0</v>
      </c>
      <c r="O100" s="36">
        <v>10000</v>
      </c>
      <c r="P100" s="59">
        <v>5000</v>
      </c>
      <c r="Q100" s="60">
        <v>105000</v>
      </c>
      <c r="R100" s="61"/>
      <c r="S100" s="62">
        <f t="shared" si="8"/>
        <v>-105000</v>
      </c>
      <c r="T100" s="1"/>
      <c r="U100" s="1"/>
    </row>
    <row r="101" spans="1:21" ht="24.75" customHeight="1" x14ac:dyDescent="0.25">
      <c r="A101" s="1"/>
      <c r="B101" s="28" t="s">
        <v>234</v>
      </c>
      <c r="C101" s="28" t="s">
        <v>235</v>
      </c>
      <c r="D101" s="6" t="s">
        <v>73</v>
      </c>
      <c r="E101" s="33"/>
      <c r="F101" s="33">
        <v>46179</v>
      </c>
      <c r="G101" s="56" t="s">
        <v>139</v>
      </c>
      <c r="H101" s="57">
        <v>6</v>
      </c>
      <c r="I101" s="35">
        <v>15000</v>
      </c>
      <c r="J101" s="58">
        <f t="shared" ref="J101:J132" si="9">H101*I101</f>
        <v>90000</v>
      </c>
      <c r="K101" s="34">
        <v>0</v>
      </c>
      <c r="L101" s="35">
        <v>0</v>
      </c>
      <c r="M101" s="58">
        <f t="shared" ref="M101:M132" si="10">K101*L101</f>
        <v>0</v>
      </c>
      <c r="N101" s="36">
        <v>0</v>
      </c>
      <c r="O101" s="36">
        <v>10000</v>
      </c>
      <c r="P101" s="59">
        <v>5000</v>
      </c>
      <c r="Q101" s="60">
        <v>105000</v>
      </c>
      <c r="R101" s="61"/>
      <c r="S101" s="62">
        <f t="shared" ref="S101:S132" si="11">R101-Q101</f>
        <v>-105000</v>
      </c>
      <c r="T101" s="1"/>
      <c r="U101" s="1"/>
    </row>
    <row r="102" spans="1:21" ht="24.75" customHeight="1" x14ac:dyDescent="0.25">
      <c r="A102" s="1"/>
      <c r="B102" s="28" t="s">
        <v>236</v>
      </c>
      <c r="C102" s="28" t="s">
        <v>61</v>
      </c>
      <c r="D102" s="6" t="s">
        <v>73</v>
      </c>
      <c r="E102" s="33"/>
      <c r="F102" s="33">
        <v>46209</v>
      </c>
      <c r="G102" s="56" t="s">
        <v>139</v>
      </c>
      <c r="H102" s="57">
        <v>5</v>
      </c>
      <c r="I102" s="35">
        <v>15000</v>
      </c>
      <c r="J102" s="58">
        <f t="shared" si="9"/>
        <v>75000</v>
      </c>
      <c r="K102" s="34">
        <v>0</v>
      </c>
      <c r="L102" s="35">
        <v>0</v>
      </c>
      <c r="M102" s="58">
        <f t="shared" si="10"/>
        <v>0</v>
      </c>
      <c r="N102" s="36">
        <v>0</v>
      </c>
      <c r="O102" s="36">
        <v>10000</v>
      </c>
      <c r="P102" s="59">
        <v>5000</v>
      </c>
      <c r="Q102" s="60">
        <v>90000</v>
      </c>
      <c r="R102" s="61"/>
      <c r="S102" s="62">
        <f t="shared" si="11"/>
        <v>-90000</v>
      </c>
      <c r="T102" s="1"/>
      <c r="U102" s="1"/>
    </row>
    <row r="103" spans="1:21" ht="27" x14ac:dyDescent="0.25">
      <c r="A103" s="1"/>
      <c r="B103" s="28" t="s">
        <v>237</v>
      </c>
      <c r="C103" s="28" t="s">
        <v>238</v>
      </c>
      <c r="D103" s="6" t="s">
        <v>73</v>
      </c>
      <c r="E103" s="33"/>
      <c r="F103" s="33">
        <v>46240</v>
      </c>
      <c r="G103" s="56" t="s">
        <v>139</v>
      </c>
      <c r="H103" s="57">
        <v>4</v>
      </c>
      <c r="I103" s="35">
        <v>15000</v>
      </c>
      <c r="J103" s="58">
        <f t="shared" si="9"/>
        <v>60000</v>
      </c>
      <c r="K103" s="34">
        <v>0</v>
      </c>
      <c r="L103" s="35">
        <v>0</v>
      </c>
      <c r="M103" s="58">
        <f t="shared" si="10"/>
        <v>0</v>
      </c>
      <c r="N103" s="36">
        <v>0</v>
      </c>
      <c r="O103" s="36">
        <v>10000</v>
      </c>
      <c r="P103" s="59">
        <v>5000</v>
      </c>
      <c r="Q103" s="60">
        <v>75000</v>
      </c>
      <c r="R103" s="61"/>
      <c r="S103" s="62">
        <f t="shared" si="11"/>
        <v>-75000</v>
      </c>
      <c r="T103" s="1"/>
      <c r="U103" s="1"/>
    </row>
    <row r="104" spans="1:21" ht="24.75" customHeight="1" x14ac:dyDescent="0.25">
      <c r="A104" s="1"/>
      <c r="B104" s="28" t="s">
        <v>239</v>
      </c>
      <c r="C104" s="28" t="s">
        <v>240</v>
      </c>
      <c r="D104" s="6" t="s">
        <v>73</v>
      </c>
      <c r="E104" s="33"/>
      <c r="F104" s="33">
        <v>46271</v>
      </c>
      <c r="G104" s="56" t="s">
        <v>139</v>
      </c>
      <c r="H104" s="57">
        <v>6</v>
      </c>
      <c r="I104" s="35">
        <v>15000</v>
      </c>
      <c r="J104" s="58">
        <f t="shared" si="9"/>
        <v>90000</v>
      </c>
      <c r="K104" s="34">
        <v>0</v>
      </c>
      <c r="L104" s="35">
        <v>0</v>
      </c>
      <c r="M104" s="58">
        <f t="shared" si="10"/>
        <v>0</v>
      </c>
      <c r="N104" s="36">
        <v>0</v>
      </c>
      <c r="O104" s="36">
        <v>10000</v>
      </c>
      <c r="P104" s="59">
        <v>5000</v>
      </c>
      <c r="Q104" s="60">
        <v>105000</v>
      </c>
      <c r="R104" s="61"/>
      <c r="S104" s="62">
        <f t="shared" si="11"/>
        <v>-105000</v>
      </c>
      <c r="T104" s="1"/>
      <c r="U104" s="1"/>
    </row>
    <row r="105" spans="1:21" ht="24.75" customHeight="1" x14ac:dyDescent="0.25">
      <c r="A105" s="1"/>
      <c r="B105" s="28" t="s">
        <v>241</v>
      </c>
      <c r="C105" s="28" t="s">
        <v>242</v>
      </c>
      <c r="D105" s="6" t="s">
        <v>73</v>
      </c>
      <c r="E105" s="33"/>
      <c r="F105" s="33">
        <v>46301</v>
      </c>
      <c r="G105" s="56">
        <v>46130</v>
      </c>
      <c r="H105" s="57">
        <v>3</v>
      </c>
      <c r="I105" s="35">
        <v>15000</v>
      </c>
      <c r="J105" s="58">
        <f t="shared" si="9"/>
        <v>45000</v>
      </c>
      <c r="K105" s="34">
        <v>0</v>
      </c>
      <c r="L105" s="35">
        <v>0</v>
      </c>
      <c r="M105" s="58">
        <f t="shared" si="10"/>
        <v>0</v>
      </c>
      <c r="N105" s="36">
        <v>0</v>
      </c>
      <c r="O105" s="36">
        <v>10000</v>
      </c>
      <c r="P105" s="59">
        <v>5000</v>
      </c>
      <c r="Q105" s="60">
        <v>60000</v>
      </c>
      <c r="R105" s="61"/>
      <c r="S105" s="62">
        <f t="shared" si="11"/>
        <v>-60000</v>
      </c>
      <c r="T105" s="1"/>
      <c r="U105" s="1"/>
    </row>
    <row r="106" spans="1:21" ht="24.75" customHeight="1" x14ac:dyDescent="0.25">
      <c r="A106" s="1"/>
      <c r="B106" s="28" t="s">
        <v>243</v>
      </c>
      <c r="C106" s="28" t="s">
        <v>244</v>
      </c>
      <c r="D106" s="6" t="s">
        <v>73</v>
      </c>
      <c r="E106" s="33"/>
      <c r="F106" s="33">
        <v>46332</v>
      </c>
      <c r="G106" s="56">
        <v>46130</v>
      </c>
      <c r="H106" s="57">
        <v>6</v>
      </c>
      <c r="I106" s="35">
        <v>15000</v>
      </c>
      <c r="J106" s="58">
        <f t="shared" si="9"/>
        <v>90000</v>
      </c>
      <c r="K106" s="34">
        <v>0</v>
      </c>
      <c r="L106" s="35">
        <v>0</v>
      </c>
      <c r="M106" s="58">
        <f t="shared" si="10"/>
        <v>0</v>
      </c>
      <c r="N106" s="36">
        <v>0</v>
      </c>
      <c r="O106" s="36">
        <v>10000</v>
      </c>
      <c r="P106" s="59">
        <v>5000</v>
      </c>
      <c r="Q106" s="60">
        <v>105000</v>
      </c>
      <c r="R106" s="61"/>
      <c r="S106" s="62">
        <f t="shared" si="11"/>
        <v>-105000</v>
      </c>
      <c r="T106" s="1"/>
      <c r="U106" s="1"/>
    </row>
    <row r="107" spans="1:21" ht="24.75" customHeight="1" x14ac:dyDescent="0.25">
      <c r="A107" s="1"/>
      <c r="B107" s="28" t="s">
        <v>245</v>
      </c>
      <c r="C107" s="28" t="s">
        <v>246</v>
      </c>
      <c r="D107" s="6" t="s">
        <v>73</v>
      </c>
      <c r="E107" s="33"/>
      <c r="F107" s="33">
        <v>46362</v>
      </c>
      <c r="G107" s="56">
        <v>46130</v>
      </c>
      <c r="H107" s="57">
        <v>6</v>
      </c>
      <c r="I107" s="35">
        <v>15000</v>
      </c>
      <c r="J107" s="58">
        <f t="shared" si="9"/>
        <v>90000</v>
      </c>
      <c r="K107" s="34">
        <v>0</v>
      </c>
      <c r="L107" s="35">
        <v>0</v>
      </c>
      <c r="M107" s="58">
        <f t="shared" si="10"/>
        <v>0</v>
      </c>
      <c r="N107" s="36">
        <v>0</v>
      </c>
      <c r="O107" s="36">
        <v>10000</v>
      </c>
      <c r="P107" s="59">
        <v>5000</v>
      </c>
      <c r="Q107" s="60">
        <v>105000</v>
      </c>
      <c r="R107" s="61"/>
      <c r="S107" s="62">
        <f t="shared" si="11"/>
        <v>-105000</v>
      </c>
      <c r="T107" s="1"/>
      <c r="U107" s="1"/>
    </row>
    <row r="108" spans="1:21" ht="24.75" customHeight="1" x14ac:dyDescent="0.25">
      <c r="A108" s="1"/>
      <c r="B108" s="28" t="s">
        <v>247</v>
      </c>
      <c r="C108" s="28" t="s">
        <v>248</v>
      </c>
      <c r="D108" s="6" t="s">
        <v>73</v>
      </c>
      <c r="E108" s="33"/>
      <c r="F108" s="33" t="s">
        <v>139</v>
      </c>
      <c r="G108" s="56">
        <v>46130</v>
      </c>
      <c r="H108" s="57">
        <v>5</v>
      </c>
      <c r="I108" s="35">
        <v>15000</v>
      </c>
      <c r="J108" s="58">
        <f t="shared" si="9"/>
        <v>75000</v>
      </c>
      <c r="K108" s="34">
        <v>0</v>
      </c>
      <c r="L108" s="35">
        <v>0</v>
      </c>
      <c r="M108" s="58">
        <f t="shared" si="10"/>
        <v>0</v>
      </c>
      <c r="N108" s="36">
        <v>0</v>
      </c>
      <c r="O108" s="36">
        <v>10000</v>
      </c>
      <c r="P108" s="59">
        <v>5000</v>
      </c>
      <c r="Q108" s="60">
        <v>90000</v>
      </c>
      <c r="R108" s="61"/>
      <c r="S108" s="62">
        <f t="shared" si="11"/>
        <v>-90000</v>
      </c>
      <c r="T108" s="1"/>
      <c r="U108" s="1"/>
    </row>
    <row r="109" spans="1:21" ht="27" x14ac:dyDescent="0.25">
      <c r="A109" s="1"/>
      <c r="B109" s="28" t="s">
        <v>249</v>
      </c>
      <c r="C109" s="28" t="s">
        <v>250</v>
      </c>
      <c r="D109" s="6" t="s">
        <v>73</v>
      </c>
      <c r="E109" s="33"/>
      <c r="F109" s="33" t="s">
        <v>251</v>
      </c>
      <c r="G109" s="56">
        <v>46130</v>
      </c>
      <c r="H109" s="57">
        <v>6</v>
      </c>
      <c r="I109" s="35">
        <v>15000</v>
      </c>
      <c r="J109" s="58">
        <f t="shared" si="9"/>
        <v>90000</v>
      </c>
      <c r="K109" s="34">
        <v>0</v>
      </c>
      <c r="L109" s="35">
        <v>0</v>
      </c>
      <c r="M109" s="58">
        <f t="shared" si="10"/>
        <v>0</v>
      </c>
      <c r="N109" s="36">
        <v>0</v>
      </c>
      <c r="O109" s="36">
        <v>10000</v>
      </c>
      <c r="P109" s="59">
        <v>5000</v>
      </c>
      <c r="Q109" s="60">
        <v>105000</v>
      </c>
      <c r="R109" s="61"/>
      <c r="S109" s="62">
        <f t="shared" si="11"/>
        <v>-105000</v>
      </c>
      <c r="T109" s="1"/>
      <c r="U109" s="1"/>
    </row>
    <row r="110" spans="1:21" ht="24.75" customHeight="1" x14ac:dyDescent="0.25">
      <c r="A110" s="1"/>
      <c r="B110" s="28" t="s">
        <v>252</v>
      </c>
      <c r="C110" s="28" t="s">
        <v>253</v>
      </c>
      <c r="D110" s="6" t="s">
        <v>73</v>
      </c>
      <c r="E110" s="33"/>
      <c r="F110" s="33" t="s">
        <v>254</v>
      </c>
      <c r="G110" s="56">
        <v>46130</v>
      </c>
      <c r="H110" s="57">
        <v>8</v>
      </c>
      <c r="I110" s="35">
        <v>15000</v>
      </c>
      <c r="J110" s="58">
        <f t="shared" si="9"/>
        <v>120000</v>
      </c>
      <c r="K110" s="34">
        <v>0</v>
      </c>
      <c r="L110" s="35">
        <v>0</v>
      </c>
      <c r="M110" s="58">
        <f t="shared" si="10"/>
        <v>0</v>
      </c>
      <c r="N110" s="36">
        <v>0</v>
      </c>
      <c r="O110" s="36">
        <v>10000</v>
      </c>
      <c r="P110" s="59">
        <v>5000</v>
      </c>
      <c r="Q110" s="60">
        <v>135000</v>
      </c>
      <c r="R110" s="61"/>
      <c r="S110" s="62">
        <f t="shared" si="11"/>
        <v>-135000</v>
      </c>
      <c r="T110" s="1"/>
      <c r="U110" s="1"/>
    </row>
    <row r="111" spans="1:21" ht="24.75" customHeight="1" x14ac:dyDescent="0.25">
      <c r="A111" s="1"/>
      <c r="B111" s="28" t="s">
        <v>255</v>
      </c>
      <c r="C111" s="28" t="s">
        <v>256</v>
      </c>
      <c r="D111" s="6" t="s">
        <v>73</v>
      </c>
      <c r="E111" s="33"/>
      <c r="F111" s="33" t="s">
        <v>257</v>
      </c>
      <c r="G111" s="56">
        <v>46130</v>
      </c>
      <c r="H111" s="57">
        <v>6</v>
      </c>
      <c r="I111" s="35">
        <v>15000</v>
      </c>
      <c r="J111" s="58">
        <f t="shared" si="9"/>
        <v>90000</v>
      </c>
      <c r="K111" s="34">
        <v>0</v>
      </c>
      <c r="L111" s="35">
        <v>0</v>
      </c>
      <c r="M111" s="58">
        <f t="shared" si="10"/>
        <v>0</v>
      </c>
      <c r="N111" s="36">
        <v>0</v>
      </c>
      <c r="O111" s="36">
        <v>10000</v>
      </c>
      <c r="P111" s="59">
        <v>5000</v>
      </c>
      <c r="Q111" s="60">
        <v>105000</v>
      </c>
      <c r="R111" s="61"/>
      <c r="S111" s="62">
        <f t="shared" si="11"/>
        <v>-105000</v>
      </c>
      <c r="T111" s="1"/>
      <c r="U111" s="1"/>
    </row>
    <row r="112" spans="1:21" ht="24.75" customHeight="1" x14ac:dyDescent="0.25">
      <c r="A112" s="1"/>
      <c r="B112" s="28" t="s">
        <v>258</v>
      </c>
      <c r="C112" s="28" t="s">
        <v>259</v>
      </c>
      <c r="D112" s="6" t="s">
        <v>73</v>
      </c>
      <c r="E112" s="33"/>
      <c r="F112" s="33" t="s">
        <v>260</v>
      </c>
      <c r="G112" s="56">
        <v>46130</v>
      </c>
      <c r="H112" s="57">
        <v>4</v>
      </c>
      <c r="I112" s="35">
        <v>15000</v>
      </c>
      <c r="J112" s="58">
        <f t="shared" si="9"/>
        <v>60000</v>
      </c>
      <c r="K112" s="34">
        <v>0</v>
      </c>
      <c r="L112" s="35">
        <v>0</v>
      </c>
      <c r="M112" s="58">
        <f t="shared" si="10"/>
        <v>0</v>
      </c>
      <c r="N112" s="36">
        <v>0</v>
      </c>
      <c r="O112" s="36">
        <v>10000</v>
      </c>
      <c r="P112" s="59">
        <v>5000</v>
      </c>
      <c r="Q112" s="60">
        <v>75000</v>
      </c>
      <c r="R112" s="61"/>
      <c r="S112" s="62">
        <f t="shared" si="11"/>
        <v>-75000</v>
      </c>
      <c r="T112" s="1"/>
      <c r="U112" s="1"/>
    </row>
    <row r="113" spans="1:21" ht="24.75" customHeight="1" x14ac:dyDescent="0.25">
      <c r="A113" s="1"/>
      <c r="B113" s="28" t="s">
        <v>261</v>
      </c>
      <c r="C113" s="28" t="s">
        <v>262</v>
      </c>
      <c r="D113" s="6" t="s">
        <v>73</v>
      </c>
      <c r="E113" s="33"/>
      <c r="F113" s="33" t="s">
        <v>263</v>
      </c>
      <c r="G113" s="56">
        <v>46130</v>
      </c>
      <c r="H113" s="57">
        <v>5</v>
      </c>
      <c r="I113" s="35">
        <v>15000</v>
      </c>
      <c r="J113" s="58">
        <f t="shared" si="9"/>
        <v>75000</v>
      </c>
      <c r="K113" s="34">
        <v>0</v>
      </c>
      <c r="L113" s="35">
        <v>0</v>
      </c>
      <c r="M113" s="58">
        <f t="shared" si="10"/>
        <v>0</v>
      </c>
      <c r="N113" s="36">
        <v>0</v>
      </c>
      <c r="O113" s="36">
        <v>10000</v>
      </c>
      <c r="P113" s="59">
        <v>5000</v>
      </c>
      <c r="Q113" s="60">
        <v>90000</v>
      </c>
      <c r="R113" s="61"/>
      <c r="S113" s="62">
        <f t="shared" si="11"/>
        <v>-90000</v>
      </c>
      <c r="T113" s="1"/>
      <c r="U113" s="1"/>
    </row>
    <row r="114" spans="1:21" ht="24.75" customHeight="1" x14ac:dyDescent="0.25">
      <c r="A114" s="1"/>
      <c r="B114" s="28" t="s">
        <v>264</v>
      </c>
      <c r="C114" s="28" t="s">
        <v>265</v>
      </c>
      <c r="D114" s="6" t="s">
        <v>73</v>
      </c>
      <c r="E114" s="33"/>
      <c r="F114" s="33" t="s">
        <v>266</v>
      </c>
      <c r="G114" s="56">
        <v>46130</v>
      </c>
      <c r="H114" s="57">
        <v>3</v>
      </c>
      <c r="I114" s="35">
        <v>15000</v>
      </c>
      <c r="J114" s="58">
        <f t="shared" si="9"/>
        <v>45000</v>
      </c>
      <c r="K114" s="34">
        <v>0</v>
      </c>
      <c r="L114" s="35">
        <v>0</v>
      </c>
      <c r="M114" s="58">
        <f t="shared" si="10"/>
        <v>0</v>
      </c>
      <c r="N114" s="36">
        <v>0</v>
      </c>
      <c r="O114" s="36">
        <v>10000</v>
      </c>
      <c r="P114" s="59">
        <v>5000</v>
      </c>
      <c r="Q114" s="60">
        <v>60000</v>
      </c>
      <c r="R114" s="61"/>
      <c r="S114" s="62">
        <f t="shared" si="11"/>
        <v>-60000</v>
      </c>
      <c r="T114" s="1"/>
      <c r="U114" s="1"/>
    </row>
    <row r="115" spans="1:21" x14ac:dyDescent="0.25">
      <c r="A115" s="1"/>
      <c r="B115" s="68" t="s">
        <v>267</v>
      </c>
      <c r="C115" s="11"/>
      <c r="D115" s="29"/>
      <c r="E115" s="12"/>
      <c r="F115" s="12"/>
      <c r="G115" s="48"/>
      <c r="H115" s="40"/>
      <c r="I115" s="30"/>
      <c r="J115" s="32">
        <f>SUM(J5:J13)</f>
        <v>490000</v>
      </c>
      <c r="K115" s="32"/>
      <c r="L115" s="32"/>
      <c r="M115" s="32">
        <f>SUM(M5:M13)</f>
        <v>0</v>
      </c>
      <c r="N115" s="32">
        <f>SUM(N5:N13)</f>
        <v>0</v>
      </c>
      <c r="O115" s="32">
        <f>SUM(O5:O13)</f>
        <v>90000</v>
      </c>
      <c r="P115" s="38">
        <f>SUM(P5:P13)</f>
        <v>45000</v>
      </c>
      <c r="Q115" s="45">
        <f>SUM(Q5:Q13)</f>
        <v>625000</v>
      </c>
      <c r="R115" s="42">
        <f>SUM(J115:P115)</f>
        <v>625000</v>
      </c>
      <c r="S115" s="42">
        <f t="shared" si="11"/>
        <v>0</v>
      </c>
      <c r="T115" s="1"/>
      <c r="U115" s="1"/>
    </row>
    <row r="116" spans="1:21" x14ac:dyDescent="0.25">
      <c r="S116" s="1"/>
      <c r="T116" s="1"/>
      <c r="U116" s="1"/>
    </row>
    <row r="117" spans="1:21" x14ac:dyDescent="0.25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</row>
    <row r="118" spans="1:21" x14ac:dyDescent="0.25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</row>
    <row r="119" spans="1:21" x14ac:dyDescent="0.25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</row>
    <row r="120" spans="1:21" x14ac:dyDescent="0.25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</row>
    <row r="121" spans="1:21" x14ac:dyDescent="0.25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</row>
    <row r="122" spans="1:21" x14ac:dyDescent="0.25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</row>
    <row r="123" spans="1:21" x14ac:dyDescent="0.25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</row>
    <row r="124" spans="1:21" x14ac:dyDescent="0.25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</row>
    <row r="125" spans="1:21" x14ac:dyDescent="0.2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</row>
    <row r="126" spans="1:21" x14ac:dyDescent="0.25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</row>
    <row r="127" spans="1:21" x14ac:dyDescent="0.25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</row>
    <row r="128" spans="1:21" x14ac:dyDescent="0.25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</row>
    <row r="129" spans="1:21" x14ac:dyDescent="0.25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</row>
    <row r="130" spans="1:21" x14ac:dyDescent="0.25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</row>
    <row r="131" spans="1:21" x14ac:dyDescent="0.25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</row>
    <row r="132" spans="1:21" x14ac:dyDescent="0.25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</row>
    <row r="133" spans="1:21" x14ac:dyDescent="0.25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</row>
    <row r="134" spans="1:21" x14ac:dyDescent="0.25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</row>
    <row r="135" spans="1:21" x14ac:dyDescent="0.2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</row>
    <row r="136" spans="1:21" x14ac:dyDescent="0.25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</row>
    <row r="137" spans="1:21" x14ac:dyDescent="0.25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</row>
    <row r="138" spans="1:21" x14ac:dyDescent="0.25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</row>
    <row r="139" spans="1:21" x14ac:dyDescent="0.25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</row>
    <row r="140" spans="1:21" x14ac:dyDescent="0.25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</row>
    <row r="141" spans="1:21" x14ac:dyDescent="0.25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</row>
    <row r="142" spans="1:21" x14ac:dyDescent="0.25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</row>
    <row r="143" spans="1:21" x14ac:dyDescent="0.25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</row>
    <row r="144" spans="1:21" x14ac:dyDescent="0.25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</row>
    <row r="145" spans="1:21" x14ac:dyDescent="0.2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</row>
    <row r="146" spans="1:21" x14ac:dyDescent="0.25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</row>
    <row r="147" spans="1:21" x14ac:dyDescent="0.25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</row>
    <row r="148" spans="1:21" x14ac:dyDescent="0.25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</row>
    <row r="149" spans="1:21" x14ac:dyDescent="0.25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</row>
    <row r="150" spans="1:21" x14ac:dyDescent="0.25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</row>
    <row r="151" spans="1:21" x14ac:dyDescent="0.25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</row>
    <row r="152" spans="1:21" x14ac:dyDescent="0.25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</row>
    <row r="153" spans="1:21" x14ac:dyDescent="0.25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</row>
    <row r="154" spans="1:21" x14ac:dyDescent="0.25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</row>
    <row r="155" spans="1:21" x14ac:dyDescent="0.2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</row>
    <row r="156" spans="1:21" x14ac:dyDescent="0.25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</row>
    <row r="157" spans="1:21" x14ac:dyDescent="0.25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</row>
    <row r="158" spans="1:21" x14ac:dyDescent="0.25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</row>
    <row r="159" spans="1:21" x14ac:dyDescent="0.25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</row>
    <row r="160" spans="1:21" x14ac:dyDescent="0.25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</row>
    <row r="161" spans="1:21" x14ac:dyDescent="0.25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</row>
    <row r="162" spans="1:21" x14ac:dyDescent="0.25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</row>
    <row r="163" spans="1:21" x14ac:dyDescent="0.25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</row>
    <row r="164" spans="1:21" x14ac:dyDescent="0.25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</row>
    <row r="165" spans="1:21" x14ac:dyDescent="0.2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</row>
    <row r="166" spans="1:21" x14ac:dyDescent="0.25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</row>
    <row r="167" spans="1:21" x14ac:dyDescent="0.25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</row>
    <row r="168" spans="1:21" x14ac:dyDescent="0.25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</row>
    <row r="169" spans="1:21" x14ac:dyDescent="0.25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</row>
    <row r="170" spans="1:21" x14ac:dyDescent="0.25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</row>
    <row r="171" spans="1:21" x14ac:dyDescent="0.25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</row>
    <row r="172" spans="1:21" x14ac:dyDescent="0.25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</row>
    <row r="173" spans="1:21" x14ac:dyDescent="0.25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</row>
    <row r="174" spans="1:21" x14ac:dyDescent="0.25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</row>
    <row r="175" spans="1:21" x14ac:dyDescent="0.2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</row>
    <row r="176" spans="1:21" x14ac:dyDescent="0.25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</row>
    <row r="177" spans="1:21" x14ac:dyDescent="0.25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</row>
    <row r="178" spans="1:21" x14ac:dyDescent="0.25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</row>
    <row r="179" spans="1:21" x14ac:dyDescent="0.25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</row>
    <row r="180" spans="1:21" x14ac:dyDescent="0.25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</row>
    <row r="181" spans="1:21" x14ac:dyDescent="0.25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</row>
    <row r="182" spans="1:21" x14ac:dyDescent="0.25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</row>
    <row r="183" spans="1:21" x14ac:dyDescent="0.25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</row>
    <row r="184" spans="1:21" x14ac:dyDescent="0.25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</row>
    <row r="185" spans="1:21" x14ac:dyDescent="0.2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</row>
    <row r="186" spans="1:21" x14ac:dyDescent="0.25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</row>
    <row r="187" spans="1:21" x14ac:dyDescent="0.25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</row>
    <row r="188" spans="1:21" x14ac:dyDescent="0.25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</row>
    <row r="189" spans="1:21" x14ac:dyDescent="0.25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</row>
    <row r="190" spans="1:21" x14ac:dyDescent="0.25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</row>
    <row r="191" spans="1:21" x14ac:dyDescent="0.25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</row>
    <row r="192" spans="1:21" x14ac:dyDescent="0.25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</row>
    <row r="193" spans="1:21" x14ac:dyDescent="0.25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</row>
    <row r="194" spans="1:21" x14ac:dyDescent="0.25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</row>
    <row r="195" spans="1:21" x14ac:dyDescent="0.2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</row>
    <row r="196" spans="1:21" x14ac:dyDescent="0.25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</row>
    <row r="197" spans="1:21" x14ac:dyDescent="0.25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</row>
    <row r="198" spans="1:21" x14ac:dyDescent="0.25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</row>
    <row r="199" spans="1:21" x14ac:dyDescent="0.25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</row>
    <row r="200" spans="1:21" x14ac:dyDescent="0.25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</row>
    <row r="201" spans="1:21" x14ac:dyDescent="0.25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</row>
    <row r="202" spans="1:21" x14ac:dyDescent="0.25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</row>
    <row r="203" spans="1:21" x14ac:dyDescent="0.25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</row>
    <row r="204" spans="1:21" x14ac:dyDescent="0.25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</row>
    <row r="205" spans="1:21" x14ac:dyDescent="0.2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</row>
    <row r="206" spans="1:21" x14ac:dyDescent="0.25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</row>
    <row r="207" spans="1:21" x14ac:dyDescent="0.25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</row>
    <row r="208" spans="1:21" x14ac:dyDescent="0.25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</row>
    <row r="209" spans="1:21" x14ac:dyDescent="0.25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</row>
    <row r="210" spans="1:21" x14ac:dyDescent="0.25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</row>
    <row r="211" spans="1:21" x14ac:dyDescent="0.25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</row>
    <row r="212" spans="1:21" x14ac:dyDescent="0.25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</row>
    <row r="213" spans="1:21" x14ac:dyDescent="0.25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</row>
    <row r="214" spans="1:21" x14ac:dyDescent="0.25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</row>
    <row r="215" spans="1:21" x14ac:dyDescent="0.2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</row>
    <row r="216" spans="1:21" x14ac:dyDescent="0.25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</row>
    <row r="217" spans="1:21" x14ac:dyDescent="0.25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</row>
    <row r="218" spans="1:21" x14ac:dyDescent="0.25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</row>
    <row r="219" spans="1:21" x14ac:dyDescent="0.25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</row>
    <row r="220" spans="1:21" x14ac:dyDescent="0.25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</row>
    <row r="221" spans="1:21" x14ac:dyDescent="0.25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</row>
    <row r="222" spans="1:21" x14ac:dyDescent="0.25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</row>
    <row r="223" spans="1:21" x14ac:dyDescent="0.25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</row>
    <row r="224" spans="1:21" x14ac:dyDescent="0.25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</row>
    <row r="225" spans="1:21" x14ac:dyDescent="0.2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</row>
    <row r="226" spans="1:21" x14ac:dyDescent="0.25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</row>
    <row r="227" spans="1:21" x14ac:dyDescent="0.25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</row>
    <row r="228" spans="1:21" x14ac:dyDescent="0.25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</row>
    <row r="229" spans="1:21" x14ac:dyDescent="0.25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</row>
    <row r="230" spans="1:21" x14ac:dyDescent="0.25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</row>
    <row r="231" spans="1:21" x14ac:dyDescent="0.25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</row>
    <row r="232" spans="1:21" x14ac:dyDescent="0.25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</row>
    <row r="233" spans="1:21" x14ac:dyDescent="0.25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</row>
    <row r="234" spans="1:21" x14ac:dyDescent="0.25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</row>
    <row r="235" spans="1:21" x14ac:dyDescent="0.2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</row>
    <row r="236" spans="1:21" x14ac:dyDescent="0.25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</row>
    <row r="237" spans="1:21" x14ac:dyDescent="0.25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</row>
    <row r="238" spans="1:21" x14ac:dyDescent="0.25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</row>
    <row r="239" spans="1:21" x14ac:dyDescent="0.25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</row>
    <row r="240" spans="1:21" x14ac:dyDescent="0.25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</row>
    <row r="241" spans="1:21" x14ac:dyDescent="0.25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</row>
    <row r="242" spans="1:21" x14ac:dyDescent="0.25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</row>
    <row r="243" spans="1:21" x14ac:dyDescent="0.25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</row>
    <row r="244" spans="1:21" x14ac:dyDescent="0.25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</row>
    <row r="245" spans="1:21" x14ac:dyDescent="0.2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</row>
    <row r="246" spans="1:21" x14ac:dyDescent="0.25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</row>
    <row r="247" spans="1:21" x14ac:dyDescent="0.25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</row>
    <row r="248" spans="1:21" x14ac:dyDescent="0.25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</row>
    <row r="249" spans="1:21" x14ac:dyDescent="0.25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</row>
    <row r="250" spans="1:21" x14ac:dyDescent="0.25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</row>
    <row r="251" spans="1:21" x14ac:dyDescent="0.25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</row>
    <row r="252" spans="1:21" x14ac:dyDescent="0.25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</row>
    <row r="253" spans="1:21" x14ac:dyDescent="0.25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</row>
    <row r="254" spans="1:21" x14ac:dyDescent="0.25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</row>
    <row r="255" spans="1:21" x14ac:dyDescent="0.2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</row>
    <row r="256" spans="1:21" x14ac:dyDescent="0.25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</row>
    <row r="257" spans="1:21" x14ac:dyDescent="0.25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</row>
    <row r="258" spans="1:21" x14ac:dyDescent="0.25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</row>
    <row r="259" spans="1:21" x14ac:dyDescent="0.25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</row>
    <row r="260" spans="1:21" x14ac:dyDescent="0.25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</row>
    <row r="261" spans="1:21" x14ac:dyDescent="0.25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</row>
    <row r="262" spans="1:21" x14ac:dyDescent="0.25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</row>
    <row r="263" spans="1:21" x14ac:dyDescent="0.25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</row>
    <row r="264" spans="1:21" x14ac:dyDescent="0.25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</row>
    <row r="265" spans="1:21" x14ac:dyDescent="0.2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</row>
    <row r="266" spans="1:21" x14ac:dyDescent="0.25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</row>
    <row r="267" spans="1:21" x14ac:dyDescent="0.25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</row>
    <row r="268" spans="1:21" x14ac:dyDescent="0.25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</row>
    <row r="269" spans="1:21" x14ac:dyDescent="0.25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</row>
    <row r="270" spans="1:21" x14ac:dyDescent="0.25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</row>
    <row r="271" spans="1:21" x14ac:dyDescent="0.25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</row>
    <row r="272" spans="1:21" x14ac:dyDescent="0.25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</row>
    <row r="273" spans="1:21" x14ac:dyDescent="0.25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</row>
    <row r="274" spans="1:21" x14ac:dyDescent="0.25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</row>
    <row r="275" spans="1:21" x14ac:dyDescent="0.2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</row>
    <row r="276" spans="1:21" x14ac:dyDescent="0.25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</row>
    <row r="277" spans="1:21" x14ac:dyDescent="0.25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</row>
    <row r="278" spans="1:21" x14ac:dyDescent="0.25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</row>
    <row r="279" spans="1:21" x14ac:dyDescent="0.25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</row>
    <row r="280" spans="1:21" x14ac:dyDescent="0.25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</row>
    <row r="281" spans="1:21" x14ac:dyDescent="0.25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</row>
    <row r="282" spans="1:21" x14ac:dyDescent="0.25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</row>
    <row r="283" spans="1:21" x14ac:dyDescent="0.25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</row>
    <row r="284" spans="1:21" x14ac:dyDescent="0.25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</row>
    <row r="285" spans="1:21" x14ac:dyDescent="0.2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</row>
    <row r="286" spans="1:21" x14ac:dyDescent="0.25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</row>
    <row r="287" spans="1:21" x14ac:dyDescent="0.25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</row>
    <row r="288" spans="1:21" x14ac:dyDescent="0.25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</row>
    <row r="289" spans="1:21" x14ac:dyDescent="0.25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</row>
    <row r="290" spans="1:21" x14ac:dyDescent="0.25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</row>
    <row r="291" spans="1:21" x14ac:dyDescent="0.25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</row>
    <row r="292" spans="1:21" x14ac:dyDescent="0.25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</row>
    <row r="293" spans="1:21" x14ac:dyDescent="0.25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</row>
    <row r="294" spans="1:21" x14ac:dyDescent="0.25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</row>
    <row r="295" spans="1:21" x14ac:dyDescent="0.2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</row>
    <row r="296" spans="1:21" x14ac:dyDescent="0.25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</row>
    <row r="297" spans="1:21" x14ac:dyDescent="0.25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</row>
    <row r="298" spans="1:21" x14ac:dyDescent="0.25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</row>
    <row r="299" spans="1:21" x14ac:dyDescent="0.25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</row>
    <row r="300" spans="1:21" x14ac:dyDescent="0.25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</row>
    <row r="301" spans="1:21" x14ac:dyDescent="0.25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</row>
    <row r="302" spans="1:21" x14ac:dyDescent="0.25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</row>
    <row r="303" spans="1:21" x14ac:dyDescent="0.25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</row>
    <row r="304" spans="1:21" x14ac:dyDescent="0.25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</row>
    <row r="305" spans="1:21" x14ac:dyDescent="0.2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</row>
    <row r="306" spans="1:21" x14ac:dyDescent="0.25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</row>
    <row r="307" spans="1:21" x14ac:dyDescent="0.25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</row>
    <row r="308" spans="1:21" x14ac:dyDescent="0.25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</row>
    <row r="309" spans="1:21" x14ac:dyDescent="0.25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</row>
    <row r="310" spans="1:21" x14ac:dyDescent="0.25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</row>
    <row r="311" spans="1:21" x14ac:dyDescent="0.25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</row>
    <row r="312" spans="1:21" x14ac:dyDescent="0.25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</row>
    <row r="313" spans="1:21" x14ac:dyDescent="0.25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</row>
    <row r="314" spans="1:21" x14ac:dyDescent="0.25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</row>
    <row r="315" spans="1:21" x14ac:dyDescent="0.2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</row>
    <row r="316" spans="1:21" x14ac:dyDescent="0.25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</row>
    <row r="317" spans="1:21" x14ac:dyDescent="0.25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</row>
    <row r="318" spans="1:21" x14ac:dyDescent="0.25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</row>
    <row r="319" spans="1:21" x14ac:dyDescent="0.25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</row>
    <row r="320" spans="1:21" x14ac:dyDescent="0.25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</row>
    <row r="321" spans="1:21" x14ac:dyDescent="0.25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</row>
    <row r="322" spans="1:21" x14ac:dyDescent="0.25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</row>
    <row r="323" spans="1:21" x14ac:dyDescent="0.25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</row>
    <row r="324" spans="1:21" x14ac:dyDescent="0.25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</row>
    <row r="325" spans="1:21" x14ac:dyDescent="0.2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</row>
    <row r="326" spans="1:21" x14ac:dyDescent="0.25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</row>
    <row r="327" spans="1:21" x14ac:dyDescent="0.25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</row>
    <row r="328" spans="1:21" x14ac:dyDescent="0.25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</row>
    <row r="329" spans="1:21" x14ac:dyDescent="0.25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</row>
    <row r="330" spans="1:21" x14ac:dyDescent="0.25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</row>
    <row r="331" spans="1:21" x14ac:dyDescent="0.25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</row>
    <row r="332" spans="1:21" x14ac:dyDescent="0.25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</row>
    <row r="333" spans="1:21" x14ac:dyDescent="0.25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</row>
    <row r="334" spans="1:21" x14ac:dyDescent="0.25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</row>
    <row r="335" spans="1:21" x14ac:dyDescent="0.2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</row>
    <row r="336" spans="1:21" x14ac:dyDescent="0.25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</row>
    <row r="337" spans="1:21" x14ac:dyDescent="0.25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</row>
    <row r="338" spans="1:21" x14ac:dyDescent="0.25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</row>
    <row r="339" spans="1:21" x14ac:dyDescent="0.25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</row>
    <row r="340" spans="1:21" x14ac:dyDescent="0.25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</row>
    <row r="341" spans="1:21" x14ac:dyDescent="0.25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</row>
    <row r="342" spans="1:21" x14ac:dyDescent="0.25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</row>
    <row r="343" spans="1:21" x14ac:dyDescent="0.25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</row>
    <row r="344" spans="1:21" x14ac:dyDescent="0.25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</row>
    <row r="345" spans="1:21" x14ac:dyDescent="0.2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</row>
    <row r="346" spans="1:21" x14ac:dyDescent="0.25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</row>
    <row r="347" spans="1:21" x14ac:dyDescent="0.25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</row>
    <row r="348" spans="1:21" x14ac:dyDescent="0.25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</row>
    <row r="349" spans="1:21" x14ac:dyDescent="0.25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</row>
    <row r="350" spans="1:21" x14ac:dyDescent="0.25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</row>
    <row r="351" spans="1:21" x14ac:dyDescent="0.25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</row>
    <row r="352" spans="1:21" x14ac:dyDescent="0.25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</row>
    <row r="353" spans="1:21" x14ac:dyDescent="0.25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</row>
    <row r="354" spans="1:21" x14ac:dyDescent="0.25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</row>
    <row r="355" spans="1:21" x14ac:dyDescent="0.2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</row>
    <row r="356" spans="1:21" x14ac:dyDescent="0.25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</row>
    <row r="357" spans="1:21" x14ac:dyDescent="0.25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</row>
    <row r="358" spans="1:21" x14ac:dyDescent="0.25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</row>
    <row r="359" spans="1:21" x14ac:dyDescent="0.25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</row>
    <row r="360" spans="1:21" x14ac:dyDescent="0.25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</row>
    <row r="361" spans="1:21" x14ac:dyDescent="0.25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</row>
    <row r="362" spans="1:21" x14ac:dyDescent="0.25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</row>
    <row r="363" spans="1:21" x14ac:dyDescent="0.25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</row>
    <row r="364" spans="1:21" x14ac:dyDescent="0.25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</row>
    <row r="365" spans="1:21" x14ac:dyDescent="0.2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</row>
    <row r="366" spans="1:21" x14ac:dyDescent="0.25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</row>
    <row r="367" spans="1:21" x14ac:dyDescent="0.25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</row>
    <row r="368" spans="1:21" x14ac:dyDescent="0.25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</row>
    <row r="369" spans="1:21" x14ac:dyDescent="0.25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</row>
    <row r="370" spans="1:21" x14ac:dyDescent="0.25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</row>
    <row r="371" spans="1:21" x14ac:dyDescent="0.25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</row>
    <row r="372" spans="1:21" x14ac:dyDescent="0.25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</row>
    <row r="373" spans="1:21" x14ac:dyDescent="0.25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</row>
    <row r="374" spans="1:21" x14ac:dyDescent="0.25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</row>
    <row r="375" spans="1:21" x14ac:dyDescent="0.2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</row>
    <row r="376" spans="1:21" x14ac:dyDescent="0.25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</row>
    <row r="377" spans="1:21" x14ac:dyDescent="0.25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</row>
    <row r="378" spans="1:21" x14ac:dyDescent="0.25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</row>
    <row r="379" spans="1:21" x14ac:dyDescent="0.25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</row>
    <row r="380" spans="1:21" x14ac:dyDescent="0.25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</row>
    <row r="381" spans="1:21" x14ac:dyDescent="0.25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</row>
    <row r="382" spans="1:21" x14ac:dyDescent="0.25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</row>
    <row r="383" spans="1:21" x14ac:dyDescent="0.25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</row>
    <row r="384" spans="1:21" x14ac:dyDescent="0.25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</row>
    <row r="385" spans="1:21" x14ac:dyDescent="0.2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</row>
    <row r="386" spans="1:21" x14ac:dyDescent="0.25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</row>
    <row r="387" spans="1:21" x14ac:dyDescent="0.25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</row>
    <row r="388" spans="1:21" x14ac:dyDescent="0.25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</row>
    <row r="389" spans="1:21" x14ac:dyDescent="0.25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</row>
    <row r="390" spans="1:21" x14ac:dyDescent="0.25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</row>
    <row r="391" spans="1:21" x14ac:dyDescent="0.25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</row>
    <row r="392" spans="1:21" x14ac:dyDescent="0.25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</row>
    <row r="393" spans="1:21" x14ac:dyDescent="0.25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</row>
    <row r="394" spans="1:21" x14ac:dyDescent="0.25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</row>
    <row r="395" spans="1:21" x14ac:dyDescent="0.2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</row>
    <row r="396" spans="1:21" x14ac:dyDescent="0.25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</row>
    <row r="397" spans="1:21" x14ac:dyDescent="0.25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</row>
    <row r="398" spans="1:21" x14ac:dyDescent="0.25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</row>
    <row r="399" spans="1:21" x14ac:dyDescent="0.25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</row>
    <row r="400" spans="1:21" x14ac:dyDescent="0.25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</row>
    <row r="401" spans="1:21" x14ac:dyDescent="0.25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</row>
    <row r="402" spans="1:21" x14ac:dyDescent="0.25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</row>
    <row r="403" spans="1:21" x14ac:dyDescent="0.25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</row>
    <row r="404" spans="1:21" x14ac:dyDescent="0.25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</row>
  </sheetData>
  <mergeCells count="4">
    <mergeCell ref="H2:J2"/>
    <mergeCell ref="K2:M2"/>
    <mergeCell ref="Q2:S2"/>
    <mergeCell ref="N2:P2"/>
  </mergeCells>
  <conditionalFormatting sqref="D4:D32 D34 D41 D55 D62:D70 D72 D74:D76 D81:D114">
    <cfRule type="containsText" dxfId="257" priority="255" operator="containsText" text="Approved">
      <formula>NOT(ISERROR(SEARCH("Approved",D4)))</formula>
    </cfRule>
    <cfRule type="containsText" dxfId="256" priority="256" operator="containsText" text="Needs Review">
      <formula>NOT(ISERROR(SEARCH("Needs Review",D4)))</formula>
    </cfRule>
    <cfRule type="containsText" dxfId="255" priority="257" operator="containsText" text="Not Started">
      <formula>NOT(ISERROR(SEARCH("Not Started",D4)))</formula>
    </cfRule>
    <cfRule type="containsText" dxfId="254" priority="258" operator="containsText" text="On Hold">
      <formula>NOT(ISERROR(SEARCH("On Hold",D4)))</formula>
    </cfRule>
    <cfRule type="containsText" dxfId="253" priority="259" operator="containsText" text="Overdue">
      <formula>NOT(ISERROR(SEARCH("Overdue",D4)))</formula>
    </cfRule>
    <cfRule type="containsText" dxfId="252" priority="260" operator="containsText" text="Complete">
      <formula>NOT(ISERROR(SEARCH("Complete",D4)))</formula>
    </cfRule>
    <cfRule type="containsText" dxfId="251" priority="261" operator="containsText" text="In Progress">
      <formula>NOT(ISERROR(SEARCH("In Progress",D4)))</formula>
    </cfRule>
  </conditionalFormatting>
  <conditionalFormatting sqref="D5:D32 D34 D41 D55 D62:D70 D72 D74:D76 D81:D114">
    <cfRule type="cellIs" dxfId="250" priority="247" operator="equal">
      <formula>"No Iniciado"</formula>
    </cfRule>
    <cfRule type="cellIs" dxfId="249" priority="248" operator="equal">
      <formula>"Aprobado"</formula>
    </cfRule>
    <cfRule type="cellIs" dxfId="248" priority="249" operator="equal">
      <formula>"En Espera"</formula>
    </cfRule>
    <cfRule type="cellIs" dxfId="247" priority="250" operator="equal">
      <formula>"Atrasado"</formula>
    </cfRule>
    <cfRule type="cellIs" dxfId="246" priority="251" operator="equal">
      <formula>"Aprovado"</formula>
    </cfRule>
    <cfRule type="cellIs" dxfId="245" priority="252" operator="equal">
      <formula>"Requiere Revisión"</formula>
    </cfRule>
    <cfRule type="cellIs" dxfId="244" priority="253" operator="equal">
      <formula>"En Progreso"</formula>
    </cfRule>
    <cfRule type="cellIs" dxfId="243" priority="254" operator="equal">
      <formula>"Completo"</formula>
    </cfRule>
  </conditionalFormatting>
  <conditionalFormatting sqref="S5:S115">
    <cfRule type="cellIs" dxfId="242" priority="275" operator="lessThan">
      <formula>0</formula>
    </cfRule>
    <cfRule type="cellIs" dxfId="241" priority="276" operator="greaterThan">
      <formula>0</formula>
    </cfRule>
  </conditionalFormatting>
  <conditionalFormatting sqref="D33">
    <cfRule type="containsText" dxfId="230" priority="225" operator="containsText" text="Approved">
      <formula>NOT(ISERROR(SEARCH("Approved",D33)))</formula>
    </cfRule>
    <cfRule type="containsText" dxfId="229" priority="226" operator="containsText" text="Needs Review">
      <formula>NOT(ISERROR(SEARCH("Needs Review",D33)))</formula>
    </cfRule>
    <cfRule type="containsText" dxfId="228" priority="227" operator="containsText" text="Not Started">
      <formula>NOT(ISERROR(SEARCH("Not Started",D33)))</formula>
    </cfRule>
    <cfRule type="containsText" dxfId="227" priority="228" operator="containsText" text="On Hold">
      <formula>NOT(ISERROR(SEARCH("On Hold",D33)))</formula>
    </cfRule>
    <cfRule type="containsText" dxfId="226" priority="229" operator="containsText" text="Overdue">
      <formula>NOT(ISERROR(SEARCH("Overdue",D33)))</formula>
    </cfRule>
    <cfRule type="containsText" dxfId="225" priority="230" operator="containsText" text="Complete">
      <formula>NOT(ISERROR(SEARCH("Complete",D33)))</formula>
    </cfRule>
    <cfRule type="containsText" dxfId="224" priority="231" operator="containsText" text="In Progress">
      <formula>NOT(ISERROR(SEARCH("In Progress",D33)))</formula>
    </cfRule>
  </conditionalFormatting>
  <conditionalFormatting sqref="D35">
    <cfRule type="containsText" dxfId="223" priority="218" operator="containsText" text="Approved">
      <formula>NOT(ISERROR(SEARCH("Approved",D35)))</formula>
    </cfRule>
    <cfRule type="containsText" dxfId="222" priority="219" operator="containsText" text="Needs Review">
      <formula>NOT(ISERROR(SEARCH("Needs Review",D35)))</formula>
    </cfRule>
    <cfRule type="containsText" dxfId="221" priority="220" operator="containsText" text="Not Started">
      <formula>NOT(ISERROR(SEARCH("Not Started",D35)))</formula>
    </cfRule>
    <cfRule type="containsText" dxfId="220" priority="221" operator="containsText" text="On Hold">
      <formula>NOT(ISERROR(SEARCH("On Hold",D35)))</formula>
    </cfRule>
    <cfRule type="containsText" dxfId="219" priority="222" operator="containsText" text="Overdue">
      <formula>NOT(ISERROR(SEARCH("Overdue",D35)))</formula>
    </cfRule>
    <cfRule type="containsText" dxfId="218" priority="223" operator="containsText" text="Complete">
      <formula>NOT(ISERROR(SEARCH("Complete",D35)))</formula>
    </cfRule>
    <cfRule type="containsText" dxfId="217" priority="224" operator="containsText" text="In Progress">
      <formula>NOT(ISERROR(SEARCH("In Progress",D35)))</formula>
    </cfRule>
  </conditionalFormatting>
  <conditionalFormatting sqref="D36">
    <cfRule type="containsText" dxfId="216" priority="211" operator="containsText" text="Approved">
      <formula>NOT(ISERROR(SEARCH("Approved",D36)))</formula>
    </cfRule>
    <cfRule type="containsText" dxfId="215" priority="212" operator="containsText" text="Needs Review">
      <formula>NOT(ISERROR(SEARCH("Needs Review",D36)))</formula>
    </cfRule>
    <cfRule type="containsText" dxfId="214" priority="213" operator="containsText" text="Not Started">
      <formula>NOT(ISERROR(SEARCH("Not Started",D36)))</formula>
    </cfRule>
    <cfRule type="containsText" dxfId="213" priority="214" operator="containsText" text="On Hold">
      <formula>NOT(ISERROR(SEARCH("On Hold",D36)))</formula>
    </cfRule>
    <cfRule type="containsText" dxfId="212" priority="215" operator="containsText" text="Overdue">
      <formula>NOT(ISERROR(SEARCH("Overdue",D36)))</formula>
    </cfRule>
    <cfRule type="containsText" dxfId="211" priority="216" operator="containsText" text="Complete">
      <formula>NOT(ISERROR(SEARCH("Complete",D36)))</formula>
    </cfRule>
    <cfRule type="containsText" dxfId="210" priority="217" operator="containsText" text="In Progress">
      <formula>NOT(ISERROR(SEARCH("In Progress",D36)))</formula>
    </cfRule>
  </conditionalFormatting>
  <conditionalFormatting sqref="D37">
    <cfRule type="containsText" dxfId="209" priority="204" operator="containsText" text="Approved">
      <formula>NOT(ISERROR(SEARCH("Approved",D37)))</formula>
    </cfRule>
    <cfRule type="containsText" dxfId="208" priority="205" operator="containsText" text="Needs Review">
      <formula>NOT(ISERROR(SEARCH("Needs Review",D37)))</formula>
    </cfRule>
    <cfRule type="containsText" dxfId="207" priority="206" operator="containsText" text="Not Started">
      <formula>NOT(ISERROR(SEARCH("Not Started",D37)))</formula>
    </cfRule>
    <cfRule type="containsText" dxfId="206" priority="207" operator="containsText" text="On Hold">
      <formula>NOT(ISERROR(SEARCH("On Hold",D37)))</formula>
    </cfRule>
    <cfRule type="containsText" dxfId="205" priority="208" operator="containsText" text="Overdue">
      <formula>NOT(ISERROR(SEARCH("Overdue",D37)))</formula>
    </cfRule>
    <cfRule type="containsText" dxfId="204" priority="209" operator="containsText" text="Complete">
      <formula>NOT(ISERROR(SEARCH("Complete",D37)))</formula>
    </cfRule>
    <cfRule type="containsText" dxfId="203" priority="210" operator="containsText" text="In Progress">
      <formula>NOT(ISERROR(SEARCH("In Progress",D37)))</formula>
    </cfRule>
  </conditionalFormatting>
  <conditionalFormatting sqref="D38">
    <cfRule type="containsText" dxfId="202" priority="197" operator="containsText" text="Approved">
      <formula>NOT(ISERROR(SEARCH("Approved",D38)))</formula>
    </cfRule>
    <cfRule type="containsText" dxfId="201" priority="198" operator="containsText" text="Needs Review">
      <formula>NOT(ISERROR(SEARCH("Needs Review",D38)))</formula>
    </cfRule>
    <cfRule type="containsText" dxfId="200" priority="199" operator="containsText" text="Not Started">
      <formula>NOT(ISERROR(SEARCH("Not Started",D38)))</formula>
    </cfRule>
    <cfRule type="containsText" dxfId="199" priority="200" operator="containsText" text="On Hold">
      <formula>NOT(ISERROR(SEARCH("On Hold",D38)))</formula>
    </cfRule>
    <cfRule type="containsText" dxfId="198" priority="201" operator="containsText" text="Overdue">
      <formula>NOT(ISERROR(SEARCH("Overdue",D38)))</formula>
    </cfRule>
    <cfRule type="containsText" dxfId="197" priority="202" operator="containsText" text="Complete">
      <formula>NOT(ISERROR(SEARCH("Complete",D38)))</formula>
    </cfRule>
    <cfRule type="containsText" dxfId="196" priority="203" operator="containsText" text="In Progress">
      <formula>NOT(ISERROR(SEARCH("In Progress",D38)))</formula>
    </cfRule>
  </conditionalFormatting>
  <conditionalFormatting sqref="D45">
    <cfRule type="containsText" dxfId="188" priority="183" operator="containsText" text="Approved">
      <formula>NOT(ISERROR(SEARCH("Approved",D45)))</formula>
    </cfRule>
    <cfRule type="containsText" dxfId="187" priority="184" operator="containsText" text="Needs Review">
      <formula>NOT(ISERROR(SEARCH("Needs Review",D45)))</formula>
    </cfRule>
    <cfRule type="containsText" dxfId="186" priority="185" operator="containsText" text="Not Started">
      <formula>NOT(ISERROR(SEARCH("Not Started",D45)))</formula>
    </cfRule>
    <cfRule type="containsText" dxfId="185" priority="186" operator="containsText" text="On Hold">
      <formula>NOT(ISERROR(SEARCH("On Hold",D45)))</formula>
    </cfRule>
    <cfRule type="containsText" dxfId="184" priority="187" operator="containsText" text="Overdue">
      <formula>NOT(ISERROR(SEARCH("Overdue",D45)))</formula>
    </cfRule>
    <cfRule type="containsText" dxfId="183" priority="188" operator="containsText" text="Complete">
      <formula>NOT(ISERROR(SEARCH("Complete",D45)))</formula>
    </cfRule>
    <cfRule type="containsText" dxfId="182" priority="189" operator="containsText" text="In Progress">
      <formula>NOT(ISERROR(SEARCH("In Progress",D45)))</formula>
    </cfRule>
  </conditionalFormatting>
  <conditionalFormatting sqref="D48">
    <cfRule type="containsText" dxfId="181" priority="176" operator="containsText" text="Approved">
      <formula>NOT(ISERROR(SEARCH("Approved",D48)))</formula>
    </cfRule>
    <cfRule type="containsText" dxfId="180" priority="177" operator="containsText" text="Needs Review">
      <formula>NOT(ISERROR(SEARCH("Needs Review",D48)))</formula>
    </cfRule>
    <cfRule type="containsText" dxfId="179" priority="178" operator="containsText" text="Not Started">
      <formula>NOT(ISERROR(SEARCH("Not Started",D48)))</formula>
    </cfRule>
    <cfRule type="containsText" dxfId="178" priority="179" operator="containsText" text="On Hold">
      <formula>NOT(ISERROR(SEARCH("On Hold",D48)))</formula>
    </cfRule>
    <cfRule type="containsText" dxfId="177" priority="180" operator="containsText" text="Overdue">
      <formula>NOT(ISERROR(SEARCH("Overdue",D48)))</formula>
    </cfRule>
    <cfRule type="containsText" dxfId="176" priority="181" operator="containsText" text="Complete">
      <formula>NOT(ISERROR(SEARCH("Complete",D48)))</formula>
    </cfRule>
    <cfRule type="containsText" dxfId="175" priority="182" operator="containsText" text="In Progress">
      <formula>NOT(ISERROR(SEARCH("In Progress",D48)))</formula>
    </cfRule>
  </conditionalFormatting>
  <conditionalFormatting sqref="D49">
    <cfRule type="containsText" dxfId="174" priority="169" operator="containsText" text="Approved">
      <formula>NOT(ISERROR(SEARCH("Approved",D49)))</formula>
    </cfRule>
    <cfRule type="containsText" dxfId="173" priority="170" operator="containsText" text="Needs Review">
      <formula>NOT(ISERROR(SEARCH("Needs Review",D49)))</formula>
    </cfRule>
    <cfRule type="containsText" dxfId="172" priority="171" operator="containsText" text="Not Started">
      <formula>NOT(ISERROR(SEARCH("Not Started",D49)))</formula>
    </cfRule>
    <cfRule type="containsText" dxfId="171" priority="172" operator="containsText" text="On Hold">
      <formula>NOT(ISERROR(SEARCH("On Hold",D49)))</formula>
    </cfRule>
    <cfRule type="containsText" dxfId="170" priority="173" operator="containsText" text="Overdue">
      <formula>NOT(ISERROR(SEARCH("Overdue",D49)))</formula>
    </cfRule>
    <cfRule type="containsText" dxfId="169" priority="174" operator="containsText" text="Complete">
      <formula>NOT(ISERROR(SEARCH("Complete",D49)))</formula>
    </cfRule>
    <cfRule type="containsText" dxfId="168" priority="175" operator="containsText" text="In Progress">
      <formula>NOT(ISERROR(SEARCH("In Progress",D49)))</formula>
    </cfRule>
  </conditionalFormatting>
  <conditionalFormatting sqref="D51">
    <cfRule type="containsText" dxfId="167" priority="162" operator="containsText" text="Approved">
      <formula>NOT(ISERROR(SEARCH("Approved",D51)))</formula>
    </cfRule>
    <cfRule type="containsText" dxfId="166" priority="163" operator="containsText" text="Needs Review">
      <formula>NOT(ISERROR(SEARCH("Needs Review",D51)))</formula>
    </cfRule>
    <cfRule type="containsText" dxfId="165" priority="164" operator="containsText" text="Not Started">
      <formula>NOT(ISERROR(SEARCH("Not Started",D51)))</formula>
    </cfRule>
    <cfRule type="containsText" dxfId="164" priority="165" operator="containsText" text="On Hold">
      <formula>NOT(ISERROR(SEARCH("On Hold",D51)))</formula>
    </cfRule>
    <cfRule type="containsText" dxfId="163" priority="166" operator="containsText" text="Overdue">
      <formula>NOT(ISERROR(SEARCH("Overdue",D51)))</formula>
    </cfRule>
    <cfRule type="containsText" dxfId="162" priority="167" operator="containsText" text="Complete">
      <formula>NOT(ISERROR(SEARCH("Complete",D51)))</formula>
    </cfRule>
    <cfRule type="containsText" dxfId="161" priority="168" operator="containsText" text="In Progress">
      <formula>NOT(ISERROR(SEARCH("In Progress",D51)))</formula>
    </cfRule>
  </conditionalFormatting>
  <conditionalFormatting sqref="D52">
    <cfRule type="containsText" dxfId="160" priority="155" operator="containsText" text="Approved">
      <formula>NOT(ISERROR(SEARCH("Approved",D52)))</formula>
    </cfRule>
    <cfRule type="containsText" dxfId="159" priority="156" operator="containsText" text="Needs Review">
      <formula>NOT(ISERROR(SEARCH("Needs Review",D52)))</formula>
    </cfRule>
    <cfRule type="containsText" dxfId="158" priority="157" operator="containsText" text="Not Started">
      <formula>NOT(ISERROR(SEARCH("Not Started",D52)))</formula>
    </cfRule>
    <cfRule type="containsText" dxfId="157" priority="158" operator="containsText" text="On Hold">
      <formula>NOT(ISERROR(SEARCH("On Hold",D52)))</formula>
    </cfRule>
    <cfRule type="containsText" dxfId="156" priority="159" operator="containsText" text="Overdue">
      <formula>NOT(ISERROR(SEARCH("Overdue",D52)))</formula>
    </cfRule>
    <cfRule type="containsText" dxfId="155" priority="160" operator="containsText" text="Complete">
      <formula>NOT(ISERROR(SEARCH("Complete",D52)))</formula>
    </cfRule>
    <cfRule type="containsText" dxfId="154" priority="161" operator="containsText" text="In Progress">
      <formula>NOT(ISERROR(SEARCH("In Progress",D52)))</formula>
    </cfRule>
  </conditionalFormatting>
  <conditionalFormatting sqref="D53">
    <cfRule type="containsText" dxfId="153" priority="148" operator="containsText" text="Approved">
      <formula>NOT(ISERROR(SEARCH("Approved",D53)))</formula>
    </cfRule>
    <cfRule type="containsText" dxfId="152" priority="149" operator="containsText" text="Needs Review">
      <formula>NOT(ISERROR(SEARCH("Needs Review",D53)))</formula>
    </cfRule>
    <cfRule type="containsText" dxfId="151" priority="150" operator="containsText" text="Not Started">
      <formula>NOT(ISERROR(SEARCH("Not Started",D53)))</formula>
    </cfRule>
    <cfRule type="containsText" dxfId="150" priority="151" operator="containsText" text="On Hold">
      <formula>NOT(ISERROR(SEARCH("On Hold",D53)))</formula>
    </cfRule>
    <cfRule type="containsText" dxfId="149" priority="152" operator="containsText" text="Overdue">
      <formula>NOT(ISERROR(SEARCH("Overdue",D53)))</formula>
    </cfRule>
    <cfRule type="containsText" dxfId="148" priority="153" operator="containsText" text="Complete">
      <formula>NOT(ISERROR(SEARCH("Complete",D53)))</formula>
    </cfRule>
    <cfRule type="containsText" dxfId="147" priority="154" operator="containsText" text="In Progress">
      <formula>NOT(ISERROR(SEARCH("In Progress",D53)))</formula>
    </cfRule>
  </conditionalFormatting>
  <conditionalFormatting sqref="D54">
    <cfRule type="containsText" dxfId="146" priority="141" operator="containsText" text="Approved">
      <formula>NOT(ISERROR(SEARCH("Approved",D54)))</formula>
    </cfRule>
    <cfRule type="containsText" dxfId="145" priority="142" operator="containsText" text="Needs Review">
      <formula>NOT(ISERROR(SEARCH("Needs Review",D54)))</formula>
    </cfRule>
    <cfRule type="containsText" dxfId="144" priority="143" operator="containsText" text="Not Started">
      <formula>NOT(ISERROR(SEARCH("Not Started",D54)))</formula>
    </cfRule>
    <cfRule type="containsText" dxfId="143" priority="144" operator="containsText" text="On Hold">
      <formula>NOT(ISERROR(SEARCH("On Hold",D54)))</formula>
    </cfRule>
    <cfRule type="containsText" dxfId="142" priority="145" operator="containsText" text="Overdue">
      <formula>NOT(ISERROR(SEARCH("Overdue",D54)))</formula>
    </cfRule>
    <cfRule type="containsText" dxfId="141" priority="146" operator="containsText" text="Complete">
      <formula>NOT(ISERROR(SEARCH("Complete",D54)))</formula>
    </cfRule>
    <cfRule type="containsText" dxfId="140" priority="147" operator="containsText" text="In Progress">
      <formula>NOT(ISERROR(SEARCH("In Progress",D54)))</formula>
    </cfRule>
  </conditionalFormatting>
  <conditionalFormatting sqref="D57">
    <cfRule type="containsText" dxfId="139" priority="134" operator="containsText" text="Approved">
      <formula>NOT(ISERROR(SEARCH("Approved",D57)))</formula>
    </cfRule>
    <cfRule type="containsText" dxfId="138" priority="135" operator="containsText" text="Needs Review">
      <formula>NOT(ISERROR(SEARCH("Needs Review",D57)))</formula>
    </cfRule>
    <cfRule type="containsText" dxfId="137" priority="136" operator="containsText" text="Not Started">
      <formula>NOT(ISERROR(SEARCH("Not Started",D57)))</formula>
    </cfRule>
    <cfRule type="containsText" dxfId="136" priority="137" operator="containsText" text="On Hold">
      <formula>NOT(ISERROR(SEARCH("On Hold",D57)))</formula>
    </cfRule>
    <cfRule type="containsText" dxfId="135" priority="138" operator="containsText" text="Overdue">
      <formula>NOT(ISERROR(SEARCH("Overdue",D57)))</formula>
    </cfRule>
    <cfRule type="containsText" dxfId="134" priority="139" operator="containsText" text="Complete">
      <formula>NOT(ISERROR(SEARCH("Complete",D57)))</formula>
    </cfRule>
    <cfRule type="containsText" dxfId="133" priority="140" operator="containsText" text="In Progress">
      <formula>NOT(ISERROR(SEARCH("In Progress",D57)))</formula>
    </cfRule>
  </conditionalFormatting>
  <conditionalFormatting sqref="D56">
    <cfRule type="containsText" dxfId="132" priority="127" operator="containsText" text="Approved">
      <formula>NOT(ISERROR(SEARCH("Approved",D56)))</formula>
    </cfRule>
    <cfRule type="containsText" dxfId="131" priority="128" operator="containsText" text="Needs Review">
      <formula>NOT(ISERROR(SEARCH("Needs Review",D56)))</formula>
    </cfRule>
    <cfRule type="containsText" dxfId="130" priority="129" operator="containsText" text="Not Started">
      <formula>NOT(ISERROR(SEARCH("Not Started",D56)))</formula>
    </cfRule>
    <cfRule type="containsText" dxfId="129" priority="130" operator="containsText" text="On Hold">
      <formula>NOT(ISERROR(SEARCH("On Hold",D56)))</formula>
    </cfRule>
    <cfRule type="containsText" dxfId="128" priority="131" operator="containsText" text="Overdue">
      <formula>NOT(ISERROR(SEARCH("Overdue",D56)))</formula>
    </cfRule>
    <cfRule type="containsText" dxfId="127" priority="132" operator="containsText" text="Complete">
      <formula>NOT(ISERROR(SEARCH("Complete",D56)))</formula>
    </cfRule>
    <cfRule type="containsText" dxfId="126" priority="133" operator="containsText" text="In Progress">
      <formula>NOT(ISERROR(SEARCH("In Progress",D56)))</formula>
    </cfRule>
  </conditionalFormatting>
  <conditionalFormatting sqref="D58">
    <cfRule type="containsText" dxfId="125" priority="120" operator="containsText" text="Approved">
      <formula>NOT(ISERROR(SEARCH("Approved",D58)))</formula>
    </cfRule>
    <cfRule type="containsText" dxfId="124" priority="121" operator="containsText" text="Needs Review">
      <formula>NOT(ISERROR(SEARCH("Needs Review",D58)))</formula>
    </cfRule>
    <cfRule type="containsText" dxfId="123" priority="122" operator="containsText" text="Not Started">
      <formula>NOT(ISERROR(SEARCH("Not Started",D58)))</formula>
    </cfRule>
    <cfRule type="containsText" dxfId="122" priority="123" operator="containsText" text="On Hold">
      <formula>NOT(ISERROR(SEARCH("On Hold",D58)))</formula>
    </cfRule>
    <cfRule type="containsText" dxfId="121" priority="124" operator="containsText" text="Overdue">
      <formula>NOT(ISERROR(SEARCH("Overdue",D58)))</formula>
    </cfRule>
    <cfRule type="containsText" dxfId="120" priority="125" operator="containsText" text="Complete">
      <formula>NOT(ISERROR(SEARCH("Complete",D58)))</formula>
    </cfRule>
    <cfRule type="containsText" dxfId="119" priority="126" operator="containsText" text="In Progress">
      <formula>NOT(ISERROR(SEARCH("In Progress",D58)))</formula>
    </cfRule>
  </conditionalFormatting>
  <conditionalFormatting sqref="D59">
    <cfRule type="containsText" dxfId="118" priority="113" operator="containsText" text="Approved">
      <formula>NOT(ISERROR(SEARCH("Approved",D59)))</formula>
    </cfRule>
    <cfRule type="containsText" dxfId="117" priority="114" operator="containsText" text="Needs Review">
      <formula>NOT(ISERROR(SEARCH("Needs Review",D59)))</formula>
    </cfRule>
    <cfRule type="containsText" dxfId="116" priority="115" operator="containsText" text="Not Started">
      <formula>NOT(ISERROR(SEARCH("Not Started",D59)))</formula>
    </cfRule>
    <cfRule type="containsText" dxfId="115" priority="116" operator="containsText" text="On Hold">
      <formula>NOT(ISERROR(SEARCH("On Hold",D59)))</formula>
    </cfRule>
    <cfRule type="containsText" dxfId="114" priority="117" operator="containsText" text="Overdue">
      <formula>NOT(ISERROR(SEARCH("Overdue",D59)))</formula>
    </cfRule>
    <cfRule type="containsText" dxfId="113" priority="118" operator="containsText" text="Complete">
      <formula>NOT(ISERROR(SEARCH("Complete",D59)))</formula>
    </cfRule>
    <cfRule type="containsText" dxfId="112" priority="119" operator="containsText" text="In Progress">
      <formula>NOT(ISERROR(SEARCH("In Progress",D59)))</formula>
    </cfRule>
  </conditionalFormatting>
  <conditionalFormatting sqref="D60">
    <cfRule type="containsText" dxfId="111" priority="106" operator="containsText" text="Approved">
      <formula>NOT(ISERROR(SEARCH("Approved",D60)))</formula>
    </cfRule>
    <cfRule type="containsText" dxfId="110" priority="107" operator="containsText" text="Needs Review">
      <formula>NOT(ISERROR(SEARCH("Needs Review",D60)))</formula>
    </cfRule>
    <cfRule type="containsText" dxfId="109" priority="108" operator="containsText" text="Not Started">
      <formula>NOT(ISERROR(SEARCH("Not Started",D60)))</formula>
    </cfRule>
    <cfRule type="containsText" dxfId="108" priority="109" operator="containsText" text="On Hold">
      <formula>NOT(ISERROR(SEARCH("On Hold",D60)))</formula>
    </cfRule>
    <cfRule type="containsText" dxfId="107" priority="110" operator="containsText" text="Overdue">
      <formula>NOT(ISERROR(SEARCH("Overdue",D60)))</formula>
    </cfRule>
    <cfRule type="containsText" dxfId="106" priority="111" operator="containsText" text="Complete">
      <formula>NOT(ISERROR(SEARCH("Complete",D60)))</formula>
    </cfRule>
    <cfRule type="containsText" dxfId="105" priority="112" operator="containsText" text="In Progress">
      <formula>NOT(ISERROR(SEARCH("In Progress",D60)))</formula>
    </cfRule>
  </conditionalFormatting>
  <conditionalFormatting sqref="D61">
    <cfRule type="containsText" dxfId="104" priority="99" operator="containsText" text="Approved">
      <formula>NOT(ISERROR(SEARCH("Approved",D61)))</formula>
    </cfRule>
    <cfRule type="containsText" dxfId="103" priority="100" operator="containsText" text="Needs Review">
      <formula>NOT(ISERROR(SEARCH("Needs Review",D61)))</formula>
    </cfRule>
    <cfRule type="containsText" dxfId="102" priority="101" operator="containsText" text="Not Started">
      <formula>NOT(ISERROR(SEARCH("Not Started",D61)))</formula>
    </cfRule>
    <cfRule type="containsText" dxfId="101" priority="102" operator="containsText" text="On Hold">
      <formula>NOT(ISERROR(SEARCH("On Hold",D61)))</formula>
    </cfRule>
    <cfRule type="containsText" dxfId="100" priority="103" operator="containsText" text="Overdue">
      <formula>NOT(ISERROR(SEARCH("Overdue",D61)))</formula>
    </cfRule>
    <cfRule type="containsText" dxfId="99" priority="104" operator="containsText" text="Complete">
      <formula>NOT(ISERROR(SEARCH("Complete",D61)))</formula>
    </cfRule>
    <cfRule type="containsText" dxfId="98" priority="105" operator="containsText" text="In Progress">
      <formula>NOT(ISERROR(SEARCH("In Progress",D61)))</formula>
    </cfRule>
  </conditionalFormatting>
  <conditionalFormatting sqref="D71">
    <cfRule type="containsText" dxfId="97" priority="92" operator="containsText" text="Approved">
      <formula>NOT(ISERROR(SEARCH("Approved",D71)))</formula>
    </cfRule>
    <cfRule type="containsText" dxfId="96" priority="93" operator="containsText" text="Needs Review">
      <formula>NOT(ISERROR(SEARCH("Needs Review",D71)))</formula>
    </cfRule>
    <cfRule type="containsText" dxfId="95" priority="94" operator="containsText" text="Not Started">
      <formula>NOT(ISERROR(SEARCH("Not Started",D71)))</formula>
    </cfRule>
    <cfRule type="containsText" dxfId="94" priority="95" operator="containsText" text="On Hold">
      <formula>NOT(ISERROR(SEARCH("On Hold",D71)))</formula>
    </cfRule>
    <cfRule type="containsText" dxfId="93" priority="96" operator="containsText" text="Overdue">
      <formula>NOT(ISERROR(SEARCH("Overdue",D71)))</formula>
    </cfRule>
    <cfRule type="containsText" dxfId="92" priority="97" operator="containsText" text="Complete">
      <formula>NOT(ISERROR(SEARCH("Complete",D71)))</formula>
    </cfRule>
    <cfRule type="containsText" dxfId="91" priority="98" operator="containsText" text="In Progress">
      <formula>NOT(ISERROR(SEARCH("In Progress",D71)))</formula>
    </cfRule>
  </conditionalFormatting>
  <conditionalFormatting sqref="D39">
    <cfRule type="containsText" dxfId="90" priority="85" operator="containsText" text="Approved">
      <formula>NOT(ISERROR(SEARCH("Approved",D39)))</formula>
    </cfRule>
    <cfRule type="containsText" dxfId="89" priority="86" operator="containsText" text="Needs Review">
      <formula>NOT(ISERROR(SEARCH("Needs Review",D39)))</formula>
    </cfRule>
    <cfRule type="containsText" dxfId="88" priority="87" operator="containsText" text="Not Started">
      <formula>NOT(ISERROR(SEARCH("Not Started",D39)))</formula>
    </cfRule>
    <cfRule type="containsText" dxfId="87" priority="88" operator="containsText" text="On Hold">
      <formula>NOT(ISERROR(SEARCH("On Hold",D39)))</formula>
    </cfRule>
    <cfRule type="containsText" dxfId="86" priority="89" operator="containsText" text="Overdue">
      <formula>NOT(ISERROR(SEARCH("Overdue",D39)))</formula>
    </cfRule>
    <cfRule type="containsText" dxfId="85" priority="90" operator="containsText" text="Complete">
      <formula>NOT(ISERROR(SEARCH("Complete",D39)))</formula>
    </cfRule>
    <cfRule type="containsText" dxfId="84" priority="91" operator="containsText" text="In Progress">
      <formula>NOT(ISERROR(SEARCH("In Progress",D39)))</formula>
    </cfRule>
  </conditionalFormatting>
  <conditionalFormatting sqref="D40">
    <cfRule type="containsText" dxfId="83" priority="78" operator="containsText" text="Approved">
      <formula>NOT(ISERROR(SEARCH("Approved",D40)))</formula>
    </cfRule>
    <cfRule type="containsText" dxfId="82" priority="79" operator="containsText" text="Needs Review">
      <formula>NOT(ISERROR(SEARCH("Needs Review",D40)))</formula>
    </cfRule>
    <cfRule type="containsText" dxfId="81" priority="80" operator="containsText" text="Not Started">
      <formula>NOT(ISERROR(SEARCH("Not Started",D40)))</formula>
    </cfRule>
    <cfRule type="containsText" dxfId="80" priority="81" operator="containsText" text="On Hold">
      <formula>NOT(ISERROR(SEARCH("On Hold",D40)))</formula>
    </cfRule>
    <cfRule type="containsText" dxfId="79" priority="82" operator="containsText" text="Overdue">
      <formula>NOT(ISERROR(SEARCH("Overdue",D40)))</formula>
    </cfRule>
    <cfRule type="containsText" dxfId="78" priority="83" operator="containsText" text="Complete">
      <formula>NOT(ISERROR(SEARCH("Complete",D40)))</formula>
    </cfRule>
    <cfRule type="containsText" dxfId="77" priority="84" operator="containsText" text="In Progress">
      <formula>NOT(ISERROR(SEARCH("In Progress",D40)))</formula>
    </cfRule>
  </conditionalFormatting>
  <conditionalFormatting sqref="D42">
    <cfRule type="containsText" dxfId="76" priority="71" operator="containsText" text="Approved">
      <formula>NOT(ISERROR(SEARCH("Approved",D42)))</formula>
    </cfRule>
    <cfRule type="containsText" dxfId="75" priority="72" operator="containsText" text="Needs Review">
      <formula>NOT(ISERROR(SEARCH("Needs Review",D42)))</formula>
    </cfRule>
    <cfRule type="containsText" dxfId="74" priority="73" operator="containsText" text="Not Started">
      <formula>NOT(ISERROR(SEARCH("Not Started",D42)))</formula>
    </cfRule>
    <cfRule type="containsText" dxfId="73" priority="74" operator="containsText" text="On Hold">
      <formula>NOT(ISERROR(SEARCH("On Hold",D42)))</formula>
    </cfRule>
    <cfRule type="containsText" dxfId="72" priority="75" operator="containsText" text="Overdue">
      <formula>NOT(ISERROR(SEARCH("Overdue",D42)))</formula>
    </cfRule>
    <cfRule type="containsText" dxfId="71" priority="76" operator="containsText" text="Complete">
      <formula>NOT(ISERROR(SEARCH("Complete",D42)))</formula>
    </cfRule>
    <cfRule type="containsText" dxfId="70" priority="77" operator="containsText" text="In Progress">
      <formula>NOT(ISERROR(SEARCH("In Progress",D42)))</formula>
    </cfRule>
  </conditionalFormatting>
  <conditionalFormatting sqref="D43">
    <cfRule type="containsText" dxfId="69" priority="64" operator="containsText" text="Approved">
      <formula>NOT(ISERROR(SEARCH("Approved",D43)))</formula>
    </cfRule>
    <cfRule type="containsText" dxfId="68" priority="65" operator="containsText" text="Needs Review">
      <formula>NOT(ISERROR(SEARCH("Needs Review",D43)))</formula>
    </cfRule>
    <cfRule type="containsText" dxfId="67" priority="66" operator="containsText" text="Not Started">
      <formula>NOT(ISERROR(SEARCH("Not Started",D43)))</formula>
    </cfRule>
    <cfRule type="containsText" dxfId="66" priority="67" operator="containsText" text="On Hold">
      <formula>NOT(ISERROR(SEARCH("On Hold",D43)))</formula>
    </cfRule>
    <cfRule type="containsText" dxfId="65" priority="68" operator="containsText" text="Overdue">
      <formula>NOT(ISERROR(SEARCH("Overdue",D43)))</formula>
    </cfRule>
    <cfRule type="containsText" dxfId="64" priority="69" operator="containsText" text="Complete">
      <formula>NOT(ISERROR(SEARCH("Complete",D43)))</formula>
    </cfRule>
    <cfRule type="containsText" dxfId="63" priority="70" operator="containsText" text="In Progress">
      <formula>NOT(ISERROR(SEARCH("In Progress",D43)))</formula>
    </cfRule>
  </conditionalFormatting>
  <conditionalFormatting sqref="D44">
    <cfRule type="containsText" dxfId="62" priority="57" operator="containsText" text="Approved">
      <formula>NOT(ISERROR(SEARCH("Approved",D44)))</formula>
    </cfRule>
    <cfRule type="containsText" dxfId="61" priority="58" operator="containsText" text="Needs Review">
      <formula>NOT(ISERROR(SEARCH("Needs Review",D44)))</formula>
    </cfRule>
    <cfRule type="containsText" dxfId="60" priority="59" operator="containsText" text="Not Started">
      <formula>NOT(ISERROR(SEARCH("Not Started",D44)))</formula>
    </cfRule>
    <cfRule type="containsText" dxfId="59" priority="60" operator="containsText" text="On Hold">
      <formula>NOT(ISERROR(SEARCH("On Hold",D44)))</formula>
    </cfRule>
    <cfRule type="containsText" dxfId="58" priority="61" operator="containsText" text="Overdue">
      <formula>NOT(ISERROR(SEARCH("Overdue",D44)))</formula>
    </cfRule>
    <cfRule type="containsText" dxfId="57" priority="62" operator="containsText" text="Complete">
      <formula>NOT(ISERROR(SEARCH("Complete",D44)))</formula>
    </cfRule>
    <cfRule type="containsText" dxfId="56" priority="63" operator="containsText" text="In Progress">
      <formula>NOT(ISERROR(SEARCH("In Progress",D44)))</formula>
    </cfRule>
  </conditionalFormatting>
  <conditionalFormatting sqref="D50">
    <cfRule type="containsText" dxfId="55" priority="50" operator="containsText" text="Approved">
      <formula>NOT(ISERROR(SEARCH("Approved",D50)))</formula>
    </cfRule>
    <cfRule type="containsText" dxfId="54" priority="51" operator="containsText" text="Needs Review">
      <formula>NOT(ISERROR(SEARCH("Needs Review",D50)))</formula>
    </cfRule>
    <cfRule type="containsText" dxfId="53" priority="52" operator="containsText" text="Not Started">
      <formula>NOT(ISERROR(SEARCH("Not Started",D50)))</formula>
    </cfRule>
    <cfRule type="containsText" dxfId="52" priority="53" operator="containsText" text="On Hold">
      <formula>NOT(ISERROR(SEARCH("On Hold",D50)))</formula>
    </cfRule>
    <cfRule type="containsText" dxfId="51" priority="54" operator="containsText" text="Overdue">
      <formula>NOT(ISERROR(SEARCH("Overdue",D50)))</formula>
    </cfRule>
    <cfRule type="containsText" dxfId="50" priority="55" operator="containsText" text="Complete">
      <formula>NOT(ISERROR(SEARCH("Complete",D50)))</formula>
    </cfRule>
    <cfRule type="containsText" dxfId="49" priority="56" operator="containsText" text="In Progress">
      <formula>NOT(ISERROR(SEARCH("In Progress",D50)))</formula>
    </cfRule>
  </conditionalFormatting>
  <conditionalFormatting sqref="D73">
    <cfRule type="containsText" dxfId="48" priority="43" operator="containsText" text="Approved">
      <formula>NOT(ISERROR(SEARCH("Approved",D73)))</formula>
    </cfRule>
    <cfRule type="containsText" dxfId="47" priority="44" operator="containsText" text="Needs Review">
      <formula>NOT(ISERROR(SEARCH("Needs Review",D73)))</formula>
    </cfRule>
    <cfRule type="containsText" dxfId="46" priority="45" operator="containsText" text="Not Started">
      <formula>NOT(ISERROR(SEARCH("Not Started",D73)))</formula>
    </cfRule>
    <cfRule type="containsText" dxfId="45" priority="46" operator="containsText" text="On Hold">
      <formula>NOT(ISERROR(SEARCH("On Hold",D73)))</formula>
    </cfRule>
    <cfRule type="containsText" dxfId="44" priority="47" operator="containsText" text="Overdue">
      <formula>NOT(ISERROR(SEARCH("Overdue",D73)))</formula>
    </cfRule>
    <cfRule type="containsText" dxfId="43" priority="48" operator="containsText" text="Complete">
      <formula>NOT(ISERROR(SEARCH("Complete",D73)))</formula>
    </cfRule>
    <cfRule type="containsText" dxfId="42" priority="49" operator="containsText" text="In Progress">
      <formula>NOT(ISERROR(SEARCH("In Progress",D73)))</formula>
    </cfRule>
  </conditionalFormatting>
  <conditionalFormatting sqref="D77">
    <cfRule type="containsText" dxfId="41" priority="36" operator="containsText" text="Approved">
      <formula>NOT(ISERROR(SEARCH("Approved",D77)))</formula>
    </cfRule>
    <cfRule type="containsText" dxfId="40" priority="37" operator="containsText" text="Needs Review">
      <formula>NOT(ISERROR(SEARCH("Needs Review",D77)))</formula>
    </cfRule>
    <cfRule type="containsText" dxfId="39" priority="38" operator="containsText" text="Not Started">
      <formula>NOT(ISERROR(SEARCH("Not Started",D77)))</formula>
    </cfRule>
    <cfRule type="containsText" dxfId="38" priority="39" operator="containsText" text="On Hold">
      <formula>NOT(ISERROR(SEARCH("On Hold",D77)))</formula>
    </cfRule>
    <cfRule type="containsText" dxfId="37" priority="40" operator="containsText" text="Overdue">
      <formula>NOT(ISERROR(SEARCH("Overdue",D77)))</formula>
    </cfRule>
    <cfRule type="containsText" dxfId="36" priority="41" operator="containsText" text="Complete">
      <formula>NOT(ISERROR(SEARCH("Complete",D77)))</formula>
    </cfRule>
    <cfRule type="containsText" dxfId="35" priority="42" operator="containsText" text="In Progress">
      <formula>NOT(ISERROR(SEARCH("In Progress",D77)))</formula>
    </cfRule>
  </conditionalFormatting>
  <conditionalFormatting sqref="D78">
    <cfRule type="containsText" dxfId="34" priority="29" operator="containsText" text="Approved">
      <formula>NOT(ISERROR(SEARCH("Approved",D78)))</formula>
    </cfRule>
    <cfRule type="containsText" dxfId="33" priority="30" operator="containsText" text="Needs Review">
      <formula>NOT(ISERROR(SEARCH("Needs Review",D78)))</formula>
    </cfRule>
    <cfRule type="containsText" dxfId="32" priority="31" operator="containsText" text="Not Started">
      <formula>NOT(ISERROR(SEARCH("Not Started",D78)))</formula>
    </cfRule>
    <cfRule type="containsText" dxfId="31" priority="32" operator="containsText" text="On Hold">
      <formula>NOT(ISERROR(SEARCH("On Hold",D78)))</formula>
    </cfRule>
    <cfRule type="containsText" dxfId="30" priority="33" operator="containsText" text="Overdue">
      <formula>NOT(ISERROR(SEARCH("Overdue",D78)))</formula>
    </cfRule>
    <cfRule type="containsText" dxfId="29" priority="34" operator="containsText" text="Complete">
      <formula>NOT(ISERROR(SEARCH("Complete",D78)))</formula>
    </cfRule>
    <cfRule type="containsText" dxfId="28" priority="35" operator="containsText" text="In Progress">
      <formula>NOT(ISERROR(SEARCH("In Progress",D78)))</formula>
    </cfRule>
  </conditionalFormatting>
  <conditionalFormatting sqref="D79">
    <cfRule type="containsText" dxfId="27" priority="22" operator="containsText" text="Approved">
      <formula>NOT(ISERROR(SEARCH("Approved",D79)))</formula>
    </cfRule>
    <cfRule type="containsText" dxfId="26" priority="23" operator="containsText" text="Needs Review">
      <formula>NOT(ISERROR(SEARCH("Needs Review",D79)))</formula>
    </cfRule>
    <cfRule type="containsText" dxfId="25" priority="24" operator="containsText" text="Not Started">
      <formula>NOT(ISERROR(SEARCH("Not Started",D79)))</formula>
    </cfRule>
    <cfRule type="containsText" dxfId="24" priority="25" operator="containsText" text="On Hold">
      <formula>NOT(ISERROR(SEARCH("On Hold",D79)))</formula>
    </cfRule>
    <cfRule type="containsText" dxfId="23" priority="26" operator="containsText" text="Overdue">
      <formula>NOT(ISERROR(SEARCH("Overdue",D79)))</formula>
    </cfRule>
    <cfRule type="containsText" dxfId="22" priority="27" operator="containsText" text="Complete">
      <formula>NOT(ISERROR(SEARCH("Complete",D79)))</formula>
    </cfRule>
    <cfRule type="containsText" dxfId="21" priority="28" operator="containsText" text="In Progress">
      <formula>NOT(ISERROR(SEARCH("In Progress",D79)))</formula>
    </cfRule>
  </conditionalFormatting>
  <conditionalFormatting sqref="D80">
    <cfRule type="containsText" dxfId="20" priority="15" operator="containsText" text="Approved">
      <formula>NOT(ISERROR(SEARCH("Approved",D80)))</formula>
    </cfRule>
    <cfRule type="containsText" dxfId="19" priority="16" operator="containsText" text="Needs Review">
      <formula>NOT(ISERROR(SEARCH("Needs Review",D80)))</formula>
    </cfRule>
    <cfRule type="containsText" dxfId="18" priority="17" operator="containsText" text="Not Started">
      <formula>NOT(ISERROR(SEARCH("Not Started",D80)))</formula>
    </cfRule>
    <cfRule type="containsText" dxfId="17" priority="18" operator="containsText" text="On Hold">
      <formula>NOT(ISERROR(SEARCH("On Hold",D80)))</formula>
    </cfRule>
    <cfRule type="containsText" dxfId="16" priority="19" operator="containsText" text="Overdue">
      <formula>NOT(ISERROR(SEARCH("Overdue",D80)))</formula>
    </cfRule>
    <cfRule type="containsText" dxfId="15" priority="20" operator="containsText" text="Complete">
      <formula>NOT(ISERROR(SEARCH("Complete",D80)))</formula>
    </cfRule>
    <cfRule type="containsText" dxfId="14" priority="21" operator="containsText" text="In Progress">
      <formula>NOT(ISERROR(SEARCH("In Progress",D80)))</formula>
    </cfRule>
  </conditionalFormatting>
  <conditionalFormatting sqref="D46">
    <cfRule type="containsText" dxfId="13" priority="8" operator="containsText" text="Approved">
      <formula>NOT(ISERROR(SEARCH("Approved",D46)))</formula>
    </cfRule>
    <cfRule type="containsText" dxfId="12" priority="9" operator="containsText" text="Needs Review">
      <formula>NOT(ISERROR(SEARCH("Needs Review",D46)))</formula>
    </cfRule>
    <cfRule type="containsText" dxfId="11" priority="10" operator="containsText" text="Not Started">
      <formula>NOT(ISERROR(SEARCH("Not Started",D46)))</formula>
    </cfRule>
    <cfRule type="containsText" dxfId="10" priority="11" operator="containsText" text="On Hold">
      <formula>NOT(ISERROR(SEARCH("On Hold",D46)))</formula>
    </cfRule>
    <cfRule type="containsText" dxfId="9" priority="12" operator="containsText" text="Overdue">
      <formula>NOT(ISERROR(SEARCH("Overdue",D46)))</formula>
    </cfRule>
    <cfRule type="containsText" dxfId="8" priority="13" operator="containsText" text="Complete">
      <formula>NOT(ISERROR(SEARCH("Complete",D46)))</formula>
    </cfRule>
    <cfRule type="containsText" dxfId="7" priority="14" operator="containsText" text="In Progress">
      <formula>NOT(ISERROR(SEARCH("In Progress",D46)))</formula>
    </cfRule>
  </conditionalFormatting>
  <conditionalFormatting sqref="D47">
    <cfRule type="containsText" dxfId="6" priority="1" operator="containsText" text="Approved">
      <formula>NOT(ISERROR(SEARCH("Approved",D47)))</formula>
    </cfRule>
    <cfRule type="containsText" dxfId="5" priority="2" operator="containsText" text="Needs Review">
      <formula>NOT(ISERROR(SEARCH("Needs Review",D47)))</formula>
    </cfRule>
    <cfRule type="containsText" dxfId="4" priority="3" operator="containsText" text="Not Started">
      <formula>NOT(ISERROR(SEARCH("Not Started",D47)))</formula>
    </cfRule>
    <cfRule type="containsText" dxfId="3" priority="4" operator="containsText" text="On Hold">
      <formula>NOT(ISERROR(SEARCH("On Hold",D47)))</formula>
    </cfRule>
    <cfRule type="containsText" dxfId="2" priority="5" operator="containsText" text="Overdue">
      <formula>NOT(ISERROR(SEARCH("Overdue",D47)))</formula>
    </cfRule>
    <cfRule type="containsText" dxfId="1" priority="6" operator="containsText" text="Complete">
      <formula>NOT(ISERROR(SEARCH("Complete",D47)))</formula>
    </cfRule>
    <cfRule type="containsText" dxfId="0" priority="7" operator="containsText" text="In Progress">
      <formula>NOT(ISERROR(SEARCH("In Progress",D47)))</formula>
    </cfRule>
  </conditionalFormatting>
  <pageMargins left="0.3" right="0.3" top="0.3" bottom="0.3" header="0" footer="0"/>
  <pageSetup scale="63" fitToHeight="0" orientation="landscape" horizontalDpi="4294967292" verticalDpi="429496729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theme="0" tint="-0.249977111117893"/>
  </sheetPr>
  <dimension ref="A1:AF61"/>
  <sheetViews>
    <sheetView showGridLines="0" workbookViewId="0">
      <selection activeCell="F4" sqref="F4"/>
    </sheetView>
  </sheetViews>
  <sheetFormatPr baseColWidth="10" defaultColWidth="11" defaultRowHeight="15.75" x14ac:dyDescent="0.25"/>
  <cols>
    <col min="1" max="1" width="3.375" style="5" customWidth="1"/>
    <col min="2" max="2" width="10.875" style="5" customWidth="1"/>
    <col min="3" max="3" width="3.375" style="5" customWidth="1"/>
    <col min="5" max="5" width="3.375" style="5" customWidth="1"/>
    <col min="6" max="6" width="12.875" customWidth="1"/>
    <col min="7" max="7" width="3.375" style="5" customWidth="1"/>
  </cols>
  <sheetData>
    <row r="1" spans="1:32" s="5" customFormat="1" ht="42" customHeight="1" thickBot="1" x14ac:dyDescent="0.3">
      <c r="B1" s="24" t="s">
        <v>268</v>
      </c>
      <c r="C1" s="3"/>
      <c r="D1" s="3"/>
      <c r="E1" s="3"/>
      <c r="F1" s="3"/>
      <c r="G1" s="3"/>
      <c r="H1" s="3"/>
      <c r="I1" s="3"/>
      <c r="J1" s="3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</row>
    <row r="2" spans="1:32" ht="24.95" customHeight="1" thickTop="1" x14ac:dyDescent="0.25">
      <c r="A2" s="4"/>
      <c r="B2" s="23" t="s">
        <v>269</v>
      </c>
      <c r="C2" s="4"/>
      <c r="D2" s="23" t="s">
        <v>270</v>
      </c>
      <c r="E2" s="4"/>
      <c r="F2" s="23" t="s">
        <v>8</v>
      </c>
      <c r="G2" s="4"/>
    </row>
    <row r="3" spans="1:32" ht="35.1" customHeight="1" x14ac:dyDescent="0.25">
      <c r="A3" s="4"/>
      <c r="B3" s="22" t="s">
        <v>271</v>
      </c>
      <c r="C3" s="4"/>
      <c r="D3" s="21" t="s">
        <v>272</v>
      </c>
      <c r="E3" s="4"/>
      <c r="F3" s="63" t="s">
        <v>73</v>
      </c>
      <c r="G3" s="4"/>
    </row>
    <row r="4" spans="1:32" ht="35.1" customHeight="1" x14ac:dyDescent="0.25">
      <c r="A4" s="4"/>
      <c r="B4" s="20" t="s">
        <v>273</v>
      </c>
      <c r="C4" s="4"/>
      <c r="D4" s="19" t="s">
        <v>274</v>
      </c>
      <c r="E4" s="4"/>
      <c r="F4" s="64" t="s">
        <v>275</v>
      </c>
      <c r="G4" s="4"/>
    </row>
    <row r="5" spans="1:32" ht="35.1" customHeight="1" x14ac:dyDescent="0.25">
      <c r="A5" s="4"/>
      <c r="C5" s="4"/>
      <c r="D5" s="18" t="s">
        <v>276</v>
      </c>
      <c r="E5" s="4"/>
      <c r="F5" s="65" t="s">
        <v>27</v>
      </c>
      <c r="G5" s="4"/>
    </row>
    <row r="6" spans="1:32" ht="35.1" customHeight="1" x14ac:dyDescent="0.3">
      <c r="A6" s="4"/>
      <c r="C6" s="4"/>
      <c r="D6" s="14"/>
      <c r="E6" s="4"/>
      <c r="F6" s="17" t="s">
        <v>277</v>
      </c>
      <c r="G6" s="4"/>
    </row>
    <row r="7" spans="1:32" ht="35.1" customHeight="1" x14ac:dyDescent="0.3">
      <c r="A7" s="4"/>
      <c r="C7" s="4"/>
      <c r="D7" s="14"/>
      <c r="E7" s="4"/>
      <c r="F7" s="16" t="s">
        <v>278</v>
      </c>
      <c r="G7" s="4"/>
    </row>
    <row r="8" spans="1:32" ht="35.1" customHeight="1" x14ac:dyDescent="0.25">
      <c r="A8" s="4"/>
      <c r="C8" s="4"/>
      <c r="E8" s="4"/>
      <c r="F8" s="8" t="s">
        <v>279</v>
      </c>
      <c r="G8" s="4"/>
    </row>
    <row r="9" spans="1:32" ht="35.1" customHeight="1" x14ac:dyDescent="0.25">
      <c r="A9" s="4"/>
      <c r="B9" s="4"/>
      <c r="C9" s="4"/>
      <c r="E9" s="4"/>
      <c r="F9" s="15" t="s">
        <v>280</v>
      </c>
      <c r="G9" s="4"/>
    </row>
    <row r="10" spans="1:32" ht="35.1" customHeight="1" x14ac:dyDescent="0.3">
      <c r="A10" s="4"/>
      <c r="B10" s="4"/>
      <c r="C10" s="4"/>
      <c r="D10" s="14"/>
      <c r="E10" s="4"/>
      <c r="F10" s="7"/>
      <c r="G10" s="4"/>
    </row>
    <row r="11" spans="1:32" ht="35.1" customHeight="1" x14ac:dyDescent="0.3">
      <c r="A11" s="4"/>
      <c r="B11" s="4"/>
      <c r="C11" s="4"/>
      <c r="D11" s="14"/>
      <c r="E11" s="4"/>
      <c r="F11" s="7"/>
      <c r="G11" s="4"/>
    </row>
    <row r="12" spans="1:32" ht="16.5" customHeight="1" x14ac:dyDescent="0.3">
      <c r="A12" s="4"/>
      <c r="B12" s="4"/>
      <c r="C12" s="4"/>
      <c r="D12" s="14"/>
      <c r="E12" s="4"/>
      <c r="F12" s="14"/>
      <c r="G12" s="4"/>
    </row>
    <row r="13" spans="1:32" ht="16.5" customHeight="1" x14ac:dyDescent="0.3">
      <c r="A13" s="4"/>
      <c r="B13" s="4"/>
      <c r="C13" s="4"/>
      <c r="D13" s="14"/>
      <c r="E13" s="4"/>
      <c r="F13" s="14"/>
      <c r="G13" s="4"/>
    </row>
    <row r="14" spans="1:32" ht="16.5" customHeight="1" x14ac:dyDescent="0.3">
      <c r="A14" s="4"/>
      <c r="B14" s="4"/>
      <c r="C14" s="4"/>
      <c r="D14" s="14"/>
      <c r="E14" s="4"/>
      <c r="F14" s="14"/>
      <c r="G14" s="4"/>
    </row>
    <row r="15" spans="1:32" ht="16.5" customHeight="1" x14ac:dyDescent="0.3">
      <c r="A15" s="4"/>
      <c r="B15" s="4"/>
      <c r="C15" s="4"/>
      <c r="D15" s="14"/>
      <c r="E15" s="4"/>
      <c r="F15" s="14"/>
      <c r="G15" s="4"/>
    </row>
    <row r="16" spans="1:32" ht="16.5" customHeight="1" x14ac:dyDescent="0.3">
      <c r="A16" s="4"/>
      <c r="B16" s="4"/>
      <c r="C16" s="4"/>
      <c r="D16" s="14"/>
      <c r="E16" s="4"/>
      <c r="F16" s="14"/>
      <c r="G16" s="4"/>
    </row>
    <row r="17" spans="1:7" ht="16.5" customHeight="1" x14ac:dyDescent="0.3">
      <c r="A17" s="4"/>
      <c r="B17" s="4"/>
      <c r="C17" s="4"/>
      <c r="D17" s="14"/>
      <c r="E17" s="4"/>
      <c r="G17" s="4"/>
    </row>
    <row r="18" spans="1:7" ht="16.5" customHeight="1" x14ac:dyDescent="0.3">
      <c r="A18" s="4"/>
      <c r="B18" s="4"/>
      <c r="C18" s="4"/>
      <c r="D18" s="14"/>
      <c r="E18" s="4"/>
      <c r="G18" s="4"/>
    </row>
    <row r="19" spans="1:7" ht="16.5" customHeight="1" x14ac:dyDescent="0.3">
      <c r="A19" s="4"/>
      <c r="B19" s="4"/>
      <c r="C19" s="4"/>
      <c r="D19" s="14"/>
      <c r="E19" s="4"/>
      <c r="G19" s="4"/>
    </row>
    <row r="20" spans="1:7" ht="16.5" customHeight="1" x14ac:dyDescent="0.3">
      <c r="A20" s="4"/>
      <c r="B20" s="4"/>
      <c r="C20" s="4"/>
      <c r="D20" s="14"/>
      <c r="E20" s="4"/>
      <c r="G20" s="4"/>
    </row>
    <row r="21" spans="1:7" ht="16.5" customHeight="1" x14ac:dyDescent="0.3">
      <c r="A21" s="4"/>
      <c r="B21" s="4"/>
      <c r="C21" s="4"/>
      <c r="D21" s="14"/>
      <c r="E21" s="4"/>
      <c r="G21" s="4"/>
    </row>
    <row r="22" spans="1:7" ht="16.5" customHeight="1" x14ac:dyDescent="0.3">
      <c r="A22" s="4"/>
      <c r="B22" s="4"/>
      <c r="C22" s="4"/>
      <c r="D22" s="14"/>
      <c r="E22" s="4"/>
      <c r="G22" s="4"/>
    </row>
    <row r="23" spans="1:7" ht="16.5" customHeight="1" x14ac:dyDescent="0.3">
      <c r="A23" s="4"/>
      <c r="B23" s="4"/>
      <c r="C23" s="4"/>
      <c r="D23" s="14"/>
      <c r="E23" s="4"/>
      <c r="G23" s="4"/>
    </row>
    <row r="24" spans="1:7" ht="16.5" customHeight="1" x14ac:dyDescent="0.3">
      <c r="A24" s="4"/>
      <c r="B24" s="4"/>
      <c r="C24" s="4"/>
      <c r="D24" s="14"/>
      <c r="E24" s="4"/>
      <c r="G24" s="4"/>
    </row>
    <row r="25" spans="1:7" ht="16.5" customHeight="1" x14ac:dyDescent="0.3">
      <c r="A25" s="4"/>
      <c r="B25" s="4"/>
      <c r="C25" s="4"/>
      <c r="D25" s="14"/>
      <c r="E25" s="4"/>
      <c r="G25" s="4"/>
    </row>
    <row r="26" spans="1:7" ht="16.5" customHeight="1" x14ac:dyDescent="0.3">
      <c r="A26" s="4"/>
      <c r="B26" s="4"/>
      <c r="C26" s="4"/>
      <c r="D26" s="14"/>
      <c r="E26" s="4"/>
      <c r="G26" s="4"/>
    </row>
    <row r="27" spans="1:7" ht="16.5" customHeight="1" x14ac:dyDescent="0.3">
      <c r="A27" s="4"/>
      <c r="B27" s="4"/>
      <c r="C27" s="4"/>
      <c r="D27" s="14"/>
      <c r="E27" s="4"/>
      <c r="G27" s="4"/>
    </row>
    <row r="28" spans="1:7" ht="16.5" customHeight="1" x14ac:dyDescent="0.3">
      <c r="A28" s="4"/>
      <c r="B28" s="4"/>
      <c r="C28" s="4"/>
      <c r="D28" s="14"/>
      <c r="E28" s="4"/>
      <c r="G28" s="4"/>
    </row>
    <row r="29" spans="1:7" ht="16.5" customHeight="1" x14ac:dyDescent="0.3">
      <c r="A29" s="4"/>
      <c r="B29" s="4"/>
      <c r="C29" s="4"/>
      <c r="D29" s="14"/>
      <c r="E29" s="4"/>
      <c r="G29" s="4"/>
    </row>
    <row r="30" spans="1:7" ht="16.5" customHeight="1" x14ac:dyDescent="0.3">
      <c r="A30" s="4"/>
      <c r="B30" s="4"/>
      <c r="C30" s="4"/>
      <c r="D30" s="14"/>
      <c r="E30" s="4"/>
      <c r="G30" s="4"/>
    </row>
    <row r="31" spans="1:7" ht="16.5" customHeight="1" x14ac:dyDescent="0.3">
      <c r="A31" s="4"/>
      <c r="B31" s="4"/>
      <c r="C31" s="4"/>
      <c r="D31" s="14"/>
      <c r="E31" s="4"/>
      <c r="G31" s="4"/>
    </row>
    <row r="32" spans="1:7" ht="16.5" customHeight="1" x14ac:dyDescent="0.3">
      <c r="D32" s="14"/>
    </row>
    <row r="33" spans="1:7" x14ac:dyDescent="0.25">
      <c r="A33" s="4"/>
      <c r="B33" s="4"/>
      <c r="C33" s="4"/>
      <c r="E33" s="4"/>
      <c r="G33" s="4"/>
    </row>
    <row r="34" spans="1:7" x14ac:dyDescent="0.25">
      <c r="A34" s="4"/>
      <c r="B34" s="4"/>
      <c r="C34" s="4"/>
      <c r="E34" s="4"/>
      <c r="G34" s="4"/>
    </row>
    <row r="35" spans="1:7" x14ac:dyDescent="0.25">
      <c r="A35" s="4"/>
      <c r="B35" s="4"/>
      <c r="C35" s="4"/>
      <c r="E35" s="4"/>
      <c r="G35" s="4"/>
    </row>
    <row r="36" spans="1:7" x14ac:dyDescent="0.25">
      <c r="A36" s="4"/>
      <c r="B36" s="4"/>
      <c r="C36" s="4"/>
      <c r="E36" s="4"/>
      <c r="G36" s="4"/>
    </row>
    <row r="37" spans="1:7" x14ac:dyDescent="0.25">
      <c r="A37" s="4"/>
      <c r="B37" s="4"/>
      <c r="C37" s="4"/>
      <c r="E37" s="4"/>
      <c r="G37" s="4"/>
    </row>
    <row r="38" spans="1:7" x14ac:dyDescent="0.25">
      <c r="A38" s="4"/>
      <c r="B38" s="4"/>
      <c r="C38" s="4"/>
      <c r="E38" s="4"/>
      <c r="G38" s="4"/>
    </row>
    <row r="39" spans="1:7" x14ac:dyDescent="0.25">
      <c r="A39" s="4"/>
      <c r="B39" s="4"/>
      <c r="C39" s="4"/>
      <c r="E39" s="4"/>
      <c r="G39" s="4"/>
    </row>
    <row r="40" spans="1:7" x14ac:dyDescent="0.25">
      <c r="A40" s="4"/>
      <c r="B40" s="4"/>
      <c r="C40" s="4"/>
      <c r="E40" s="4"/>
      <c r="G40" s="4"/>
    </row>
    <row r="41" spans="1:7" x14ac:dyDescent="0.25">
      <c r="A41" s="4"/>
      <c r="B41" s="4"/>
      <c r="C41" s="4"/>
      <c r="E41" s="4"/>
      <c r="G41" s="4"/>
    </row>
    <row r="42" spans="1:7" x14ac:dyDescent="0.25">
      <c r="A42" s="4"/>
      <c r="B42" s="4"/>
      <c r="C42" s="4"/>
      <c r="E42" s="4"/>
      <c r="G42" s="4"/>
    </row>
    <row r="43" spans="1:7" x14ac:dyDescent="0.25">
      <c r="A43" s="4"/>
      <c r="B43" s="4"/>
      <c r="C43" s="4"/>
      <c r="E43" s="4"/>
      <c r="G43" s="4"/>
    </row>
    <row r="44" spans="1:7" x14ac:dyDescent="0.25">
      <c r="A44" s="4"/>
      <c r="B44" s="4"/>
      <c r="C44" s="4"/>
      <c r="E44" s="4"/>
      <c r="G44" s="4"/>
    </row>
    <row r="45" spans="1:7" x14ac:dyDescent="0.25">
      <c r="A45" s="4"/>
      <c r="B45" s="4"/>
      <c r="C45" s="4"/>
      <c r="E45" s="4"/>
      <c r="G45" s="4"/>
    </row>
    <row r="46" spans="1:7" x14ac:dyDescent="0.25">
      <c r="A46" s="4"/>
      <c r="B46" s="4"/>
      <c r="C46" s="4"/>
      <c r="E46" s="4"/>
      <c r="G46" s="4"/>
    </row>
    <row r="47" spans="1:7" x14ac:dyDescent="0.25">
      <c r="A47" s="4"/>
      <c r="B47" s="4"/>
      <c r="C47" s="4"/>
      <c r="E47" s="4"/>
      <c r="G47" s="4"/>
    </row>
    <row r="48" spans="1:7" x14ac:dyDescent="0.25">
      <c r="A48" s="4"/>
      <c r="B48" s="4"/>
      <c r="C48" s="4"/>
      <c r="E48" s="4"/>
      <c r="G48" s="4"/>
    </row>
    <row r="49" spans="1:7" x14ac:dyDescent="0.25">
      <c r="A49" s="4"/>
      <c r="B49" s="4"/>
      <c r="C49" s="4"/>
      <c r="E49" s="4"/>
      <c r="G49" s="4"/>
    </row>
    <row r="50" spans="1:7" x14ac:dyDescent="0.25">
      <c r="A50" s="4"/>
      <c r="B50" s="4"/>
      <c r="C50" s="4"/>
      <c r="E50" s="4"/>
      <c r="G50" s="4"/>
    </row>
    <row r="51" spans="1:7" x14ac:dyDescent="0.25">
      <c r="A51" s="4"/>
      <c r="B51" s="4"/>
      <c r="C51" s="4"/>
      <c r="E51" s="4"/>
      <c r="G51" s="4"/>
    </row>
    <row r="52" spans="1:7" x14ac:dyDescent="0.25">
      <c r="A52" s="4"/>
      <c r="B52" s="4"/>
      <c r="C52" s="4"/>
      <c r="E52" s="4"/>
      <c r="G52" s="4"/>
    </row>
    <row r="53" spans="1:7" x14ac:dyDescent="0.25">
      <c r="A53" s="4"/>
      <c r="B53" s="4"/>
      <c r="C53" s="4"/>
      <c r="E53" s="4"/>
      <c r="G53" s="4"/>
    </row>
    <row r="54" spans="1:7" x14ac:dyDescent="0.25">
      <c r="A54" s="4"/>
      <c r="B54" s="4"/>
      <c r="C54" s="4"/>
      <c r="E54" s="4"/>
      <c r="G54" s="4"/>
    </row>
    <row r="55" spans="1:7" x14ac:dyDescent="0.25">
      <c r="A55" s="4"/>
      <c r="B55" s="4"/>
      <c r="C55" s="4"/>
      <c r="E55" s="4"/>
      <c r="G55" s="4"/>
    </row>
    <row r="56" spans="1:7" x14ac:dyDescent="0.25">
      <c r="A56" s="4"/>
      <c r="B56" s="4"/>
      <c r="C56" s="4"/>
      <c r="E56" s="4"/>
      <c r="G56" s="4"/>
    </row>
    <row r="57" spans="1:7" x14ac:dyDescent="0.25">
      <c r="A57" s="4"/>
      <c r="B57" s="4"/>
      <c r="C57" s="4"/>
      <c r="E57" s="4"/>
      <c r="G57" s="4"/>
    </row>
    <row r="58" spans="1:7" x14ac:dyDescent="0.25">
      <c r="A58" s="4"/>
      <c r="B58" s="4"/>
      <c r="C58" s="4"/>
      <c r="E58" s="4"/>
      <c r="G58" s="4"/>
    </row>
    <row r="59" spans="1:7" x14ac:dyDescent="0.25">
      <c r="A59" s="4"/>
      <c r="B59" s="4"/>
      <c r="C59" s="4"/>
      <c r="E59" s="4"/>
      <c r="G59" s="4"/>
    </row>
    <row r="60" spans="1:7" x14ac:dyDescent="0.25">
      <c r="A60" s="4"/>
      <c r="B60" s="4"/>
      <c r="C60" s="4"/>
      <c r="E60" s="4"/>
      <c r="G60" s="4"/>
    </row>
    <row r="61" spans="1:7" x14ac:dyDescent="0.25">
      <c r="A61" s="4"/>
      <c r="B61" s="4"/>
      <c r="C61" s="4"/>
      <c r="E61" s="4"/>
      <c r="G61" s="4"/>
    </row>
  </sheetData>
  <conditionalFormatting sqref="D3:D5">
    <cfRule type="containsText" dxfId="240" priority="9" operator="containsText" text="Low">
      <formula>NOT(ISERROR(SEARCH("Low",D3)))</formula>
    </cfRule>
    <cfRule type="containsText" dxfId="239" priority="10" operator="containsText" text="Medium">
      <formula>NOT(ISERROR(SEARCH("Medium",D3)))</formula>
    </cfRule>
    <cfRule type="containsText" dxfId="238" priority="11" operator="containsText" text="High">
      <formula>NOT(ISERROR(SEARCH("High",D3)))</formula>
    </cfRule>
  </conditionalFormatting>
  <conditionalFormatting sqref="F3:F11">
    <cfRule type="containsText" dxfId="237" priority="8" operator="containsText" text="Approved">
      <formula>NOT(ISERROR(SEARCH("Approved",F3)))</formula>
    </cfRule>
    <cfRule type="containsText" dxfId="236" priority="12" operator="containsText" text="Needs Review">
      <formula>NOT(ISERROR(SEARCH("Needs Review",F3)))</formula>
    </cfRule>
    <cfRule type="containsText" dxfId="235" priority="13" operator="containsText" text="Not Started">
      <formula>NOT(ISERROR(SEARCH("Not Started",F3)))</formula>
    </cfRule>
    <cfRule type="containsText" dxfId="234" priority="14" operator="containsText" text="On Hold">
      <formula>NOT(ISERROR(SEARCH("On Hold",F3)))</formula>
    </cfRule>
    <cfRule type="containsText" dxfId="233" priority="15" operator="containsText" text="Overdue">
      <formula>NOT(ISERROR(SEARCH("Overdue",F3)))</formula>
    </cfRule>
    <cfRule type="containsText" dxfId="232" priority="16" operator="containsText" text="Complete">
      <formula>NOT(ISERROR(SEARCH("Complete",F3)))</formula>
    </cfRule>
    <cfRule type="containsText" dxfId="231" priority="17" operator="containsText" text="In Progress">
      <formula>NOT(ISERROR(SEARCH("In Progress",F3)))</formula>
    </cfRule>
  </conditionalFormatting>
  <pageMargins left="0.7" right="0.7" top="0.75" bottom="0.75" header="0.3" footer="0.3"/>
  <pageSetup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3</vt:i4>
      </vt:variant>
    </vt:vector>
  </HeadingPairs>
  <TitlesOfParts>
    <vt:vector size="5" baseType="lpstr">
      <vt:lpstr>Presupuesto del proyecto</vt:lpstr>
      <vt:lpstr>listas desplegables</vt:lpstr>
      <vt:lpstr>'Presupuesto del proyecto'!Área_de_impresión</vt:lpstr>
      <vt:lpstr>Status</vt:lpstr>
      <vt:lpstr>YesNo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Santiago Monroy</dc:creator>
  <cp:lastModifiedBy>SANTIAGO  MONROY QUIAZUA</cp:lastModifiedBy>
  <dcterms:created xsi:type="dcterms:W3CDTF">2015-08-28T20:34:30Z</dcterms:created>
  <dcterms:modified xsi:type="dcterms:W3CDTF">2026-05-07T04:48:42Z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0x0101005B7050F098946E478351D052D0E7E899</vt:lpwstr>
  </property>
</Properties>
</file>