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nilibrebog-my.sharepoint.com/personal/santiago-monroyq_unilibre_edu_co/Documents/"/>
    </mc:Choice>
  </mc:AlternateContent>
  <xr:revisionPtr revIDLastSave="233" documentId="8_{32679A1B-5298-4EC9-B542-9078F813238A}" xr6:coauthVersionLast="47" xr6:coauthVersionMax="47" xr10:uidLastSave="{399A3AD7-9A3F-441B-A731-93B74FFB2514}"/>
  <bookViews>
    <workbookView xWindow="2730" yWindow="2730" windowWidth="21600" windowHeight="11295" tabRatio="500" xr2:uid="{00000000-000D-0000-FFFF-FFFF00000000}"/>
  </bookViews>
  <sheets>
    <sheet name="Presupuesto del proyecto" sheetId="6" r:id="rId1"/>
    <sheet name="listas desplegables" sheetId="3" r:id="rId2"/>
  </sheets>
  <externalReferences>
    <externalReference r:id="rId3"/>
    <externalReference r:id="rId4"/>
  </externalReferences>
  <definedNames>
    <definedName name="_xlnm.Print_Area" localSheetId="0">'Presupuesto del proyecto'!$B$1:$S$15</definedName>
    <definedName name="Priority">#REF!</definedName>
    <definedName name="Status">'listas desplegables'!$D$5:$D$7</definedName>
    <definedName name="Type" localSheetId="1">'[1]Risk Assessment &amp; Control'!#REF!</definedName>
    <definedName name="Type">'[2]Maintenance Work Order'!#REF!</definedName>
    <definedName name="YesNo">'listas desplegables'!$B$5:$B$6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14" i="6" l="1"/>
  <c r="M114" i="6"/>
  <c r="S114" i="6"/>
  <c r="M113" i="6"/>
  <c r="J113" i="6"/>
  <c r="S113" i="6" s="1"/>
  <c r="M112" i="6"/>
  <c r="J112" i="6"/>
  <c r="S112" i="6" s="1"/>
  <c r="M111" i="6"/>
  <c r="J111" i="6"/>
  <c r="S111" i="6" s="1"/>
  <c r="M110" i="6"/>
  <c r="J110" i="6"/>
  <c r="S110" i="6" s="1"/>
  <c r="M109" i="6"/>
  <c r="J109" i="6"/>
  <c r="S109" i="6" s="1"/>
  <c r="M108" i="6"/>
  <c r="J108" i="6"/>
  <c r="S108" i="6" s="1"/>
  <c r="M107" i="6"/>
  <c r="J107" i="6"/>
  <c r="S107" i="6" s="1"/>
  <c r="M106" i="6"/>
  <c r="J106" i="6"/>
  <c r="S106" i="6" s="1"/>
  <c r="M105" i="6"/>
  <c r="J105" i="6"/>
  <c r="S105" i="6" s="1"/>
  <c r="M104" i="6"/>
  <c r="J104" i="6"/>
  <c r="S104" i="6" s="1"/>
  <c r="M103" i="6"/>
  <c r="J103" i="6"/>
  <c r="S103" i="6" s="1"/>
  <c r="M102" i="6"/>
  <c r="J102" i="6"/>
  <c r="S102" i="6" s="1"/>
  <c r="M101" i="6"/>
  <c r="J101" i="6"/>
  <c r="S101" i="6" s="1"/>
  <c r="M100" i="6"/>
  <c r="J100" i="6"/>
  <c r="S100" i="6" s="1"/>
  <c r="M99" i="6"/>
  <c r="J99" i="6"/>
  <c r="S99" i="6" s="1"/>
  <c r="M98" i="6"/>
  <c r="J98" i="6"/>
  <c r="S98" i="6" s="1"/>
  <c r="M97" i="6"/>
  <c r="J97" i="6"/>
  <c r="S97" i="6" s="1"/>
  <c r="M96" i="6"/>
  <c r="J96" i="6"/>
  <c r="S96" i="6" s="1"/>
  <c r="M95" i="6"/>
  <c r="J95" i="6"/>
  <c r="S95" i="6" s="1"/>
  <c r="M94" i="6"/>
  <c r="J94" i="6"/>
  <c r="S94" i="6" s="1"/>
  <c r="M93" i="6"/>
  <c r="J93" i="6"/>
  <c r="S93" i="6" s="1"/>
  <c r="M92" i="6"/>
  <c r="J92" i="6"/>
  <c r="S92" i="6" s="1"/>
  <c r="M91" i="6"/>
  <c r="J91" i="6"/>
  <c r="S91" i="6" s="1"/>
  <c r="M90" i="6"/>
  <c r="J90" i="6"/>
  <c r="S90" i="6" s="1"/>
  <c r="M89" i="6"/>
  <c r="J89" i="6"/>
  <c r="S89" i="6" s="1"/>
  <c r="M88" i="6"/>
  <c r="J88" i="6"/>
  <c r="S88" i="6" s="1"/>
  <c r="M87" i="6"/>
  <c r="J87" i="6"/>
  <c r="S87" i="6" s="1"/>
  <c r="M86" i="6"/>
  <c r="J86" i="6"/>
  <c r="S86" i="6" s="1"/>
  <c r="M85" i="6"/>
  <c r="J85" i="6"/>
  <c r="S85" i="6" s="1"/>
  <c r="M84" i="6"/>
  <c r="J84" i="6"/>
  <c r="S84" i="6" s="1"/>
  <c r="M83" i="6"/>
  <c r="J83" i="6"/>
  <c r="S83" i="6" s="1"/>
  <c r="M82" i="6"/>
  <c r="J82" i="6"/>
  <c r="S82" i="6" s="1"/>
  <c r="M81" i="6"/>
  <c r="J81" i="6"/>
  <c r="S81" i="6" s="1"/>
  <c r="M80" i="6"/>
  <c r="J80" i="6"/>
  <c r="S80" i="6" s="1"/>
  <c r="M79" i="6"/>
  <c r="J79" i="6"/>
  <c r="S79" i="6" s="1"/>
  <c r="M78" i="6"/>
  <c r="J78" i="6"/>
  <c r="S78" i="6" s="1"/>
  <c r="M77" i="6"/>
  <c r="J77" i="6"/>
  <c r="S77" i="6" s="1"/>
  <c r="M76" i="6"/>
  <c r="J76" i="6"/>
  <c r="S76" i="6" s="1"/>
  <c r="M75" i="6"/>
  <c r="J75" i="6"/>
  <c r="S75" i="6" s="1"/>
  <c r="M74" i="6"/>
  <c r="J74" i="6"/>
  <c r="S74" i="6" s="1"/>
  <c r="M73" i="6"/>
  <c r="J73" i="6"/>
  <c r="S73" i="6" s="1"/>
  <c r="M72" i="6"/>
  <c r="J72" i="6"/>
  <c r="S72" i="6" s="1"/>
  <c r="M71" i="6"/>
  <c r="J71" i="6"/>
  <c r="S71" i="6" s="1"/>
  <c r="M70" i="6"/>
  <c r="J70" i="6"/>
  <c r="S70" i="6" s="1"/>
  <c r="M69" i="6"/>
  <c r="J69" i="6"/>
  <c r="S69" i="6" s="1"/>
  <c r="M68" i="6"/>
  <c r="J68" i="6"/>
  <c r="S68" i="6" s="1"/>
  <c r="M67" i="6"/>
  <c r="J67" i="6"/>
  <c r="S67" i="6" s="1"/>
  <c r="M66" i="6"/>
  <c r="J66" i="6"/>
  <c r="S66" i="6" s="1"/>
  <c r="M65" i="6"/>
  <c r="J65" i="6"/>
  <c r="S65" i="6" s="1"/>
  <c r="M64" i="6"/>
  <c r="J64" i="6"/>
  <c r="S64" i="6" s="1"/>
  <c r="M63" i="6"/>
  <c r="J63" i="6"/>
  <c r="S63" i="6" s="1"/>
  <c r="M62" i="6"/>
  <c r="J62" i="6"/>
  <c r="S62" i="6" s="1"/>
  <c r="M61" i="6"/>
  <c r="J61" i="6"/>
  <c r="S61" i="6" s="1"/>
  <c r="M60" i="6"/>
  <c r="J60" i="6"/>
  <c r="S60" i="6" s="1"/>
  <c r="M59" i="6"/>
  <c r="J59" i="6"/>
  <c r="S59" i="6" s="1"/>
  <c r="J14" i="6"/>
  <c r="M14" i="6"/>
  <c r="S14" i="6"/>
  <c r="J15" i="6"/>
  <c r="M15" i="6"/>
  <c r="S15" i="6"/>
  <c r="J16" i="6"/>
  <c r="M16" i="6"/>
  <c r="S16" i="6"/>
  <c r="J17" i="6"/>
  <c r="M17" i="6"/>
  <c r="S17" i="6"/>
  <c r="J18" i="6"/>
  <c r="M18" i="6"/>
  <c r="S18" i="6"/>
  <c r="J19" i="6"/>
  <c r="M19" i="6"/>
  <c r="S19" i="6"/>
  <c r="J20" i="6"/>
  <c r="M20" i="6"/>
  <c r="S20" i="6"/>
  <c r="J21" i="6"/>
  <c r="M21" i="6"/>
  <c r="S21" i="6"/>
  <c r="J22" i="6"/>
  <c r="M22" i="6"/>
  <c r="S22" i="6"/>
  <c r="J23" i="6"/>
  <c r="M23" i="6"/>
  <c r="S23" i="6"/>
  <c r="J24" i="6"/>
  <c r="M24" i="6"/>
  <c r="S24" i="6"/>
  <c r="J25" i="6"/>
  <c r="M25" i="6"/>
  <c r="S25" i="6"/>
  <c r="J26" i="6"/>
  <c r="M26" i="6"/>
  <c r="S26" i="6"/>
  <c r="J27" i="6"/>
  <c r="M27" i="6"/>
  <c r="S27" i="6"/>
  <c r="J28" i="6"/>
  <c r="M28" i="6"/>
  <c r="S28" i="6"/>
  <c r="J29" i="6"/>
  <c r="M29" i="6"/>
  <c r="S29" i="6"/>
  <c r="J30" i="6"/>
  <c r="M30" i="6"/>
  <c r="S30" i="6"/>
  <c r="J31" i="6"/>
  <c r="M31" i="6"/>
  <c r="S31" i="6"/>
  <c r="J32" i="6"/>
  <c r="M32" i="6"/>
  <c r="S32" i="6"/>
  <c r="J33" i="6"/>
  <c r="M33" i="6"/>
  <c r="S33" i="6"/>
  <c r="J34" i="6"/>
  <c r="M34" i="6"/>
  <c r="S34" i="6"/>
  <c r="J35" i="6"/>
  <c r="M35" i="6"/>
  <c r="S35" i="6"/>
  <c r="J36" i="6"/>
  <c r="M36" i="6"/>
  <c r="S36" i="6"/>
  <c r="J37" i="6"/>
  <c r="M37" i="6"/>
  <c r="S37" i="6"/>
  <c r="J38" i="6"/>
  <c r="M38" i="6"/>
  <c r="S38" i="6"/>
  <c r="J39" i="6"/>
  <c r="M39" i="6"/>
  <c r="S39" i="6"/>
  <c r="J40" i="6"/>
  <c r="M40" i="6"/>
  <c r="S40" i="6"/>
  <c r="J41" i="6"/>
  <c r="M41" i="6"/>
  <c r="S41" i="6"/>
  <c r="J42" i="6"/>
  <c r="M42" i="6"/>
  <c r="S42" i="6"/>
  <c r="J43" i="6"/>
  <c r="M43" i="6"/>
  <c r="S43" i="6"/>
  <c r="J44" i="6"/>
  <c r="M44" i="6"/>
  <c r="S44" i="6"/>
  <c r="J45" i="6"/>
  <c r="M45" i="6"/>
  <c r="S45" i="6"/>
  <c r="J46" i="6"/>
  <c r="M46" i="6"/>
  <c r="S46" i="6"/>
  <c r="J47" i="6"/>
  <c r="M47" i="6"/>
  <c r="S47" i="6"/>
  <c r="J48" i="6"/>
  <c r="M48" i="6"/>
  <c r="S48" i="6"/>
  <c r="J49" i="6"/>
  <c r="M49" i="6"/>
  <c r="S49" i="6"/>
  <c r="J50" i="6"/>
  <c r="M50" i="6"/>
  <c r="S50" i="6"/>
  <c r="J51" i="6"/>
  <c r="M51" i="6"/>
  <c r="S51" i="6"/>
  <c r="J52" i="6"/>
  <c r="M52" i="6"/>
  <c r="S52" i="6"/>
  <c r="J53" i="6"/>
  <c r="M53" i="6"/>
  <c r="S53" i="6"/>
  <c r="J54" i="6"/>
  <c r="M54" i="6"/>
  <c r="S54" i="6"/>
  <c r="J55" i="6"/>
  <c r="M55" i="6"/>
  <c r="S55" i="6"/>
  <c r="J56" i="6"/>
  <c r="M56" i="6"/>
  <c r="S56" i="6"/>
  <c r="J57" i="6"/>
  <c r="M57" i="6"/>
  <c r="S57" i="6"/>
  <c r="J58" i="6"/>
  <c r="M58" i="6"/>
  <c r="S58" i="6"/>
  <c r="N115" i="6"/>
  <c r="O115" i="6"/>
  <c r="P115" i="6"/>
  <c r="Q115" i="6"/>
  <c r="J5" i="6"/>
  <c r="J6" i="6"/>
  <c r="J7" i="6"/>
  <c r="J8" i="6"/>
  <c r="J9" i="6"/>
  <c r="J10" i="6"/>
  <c r="J11" i="6"/>
  <c r="J12" i="6"/>
  <c r="J13" i="6"/>
  <c r="M5" i="6"/>
  <c r="M6" i="6"/>
  <c r="M7" i="6"/>
  <c r="M8" i="6"/>
  <c r="M9" i="6"/>
  <c r="M10" i="6"/>
  <c r="M11" i="6"/>
  <c r="M12" i="6"/>
  <c r="M13" i="6"/>
  <c r="S13" i="6"/>
  <c r="S12" i="6"/>
  <c r="S11" i="6"/>
  <c r="S10" i="6"/>
  <c r="S9" i="6"/>
  <c r="S8" i="6"/>
  <c r="S7" i="6"/>
  <c r="S6" i="6"/>
  <c r="S5" i="6"/>
  <c r="M115" i="6" l="1"/>
  <c r="J115" i="6"/>
  <c r="R115" i="6" s="1"/>
  <c r="S115" i="6" s="1"/>
</calcChain>
</file>

<file path=xl/sharedStrings.xml><?xml version="1.0" encoding="utf-8"?>
<sst xmlns="http://schemas.openxmlformats.org/spreadsheetml/2006/main" count="530" uniqueCount="281">
  <si>
    <t>Presupuesto de Proyecto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</si>
  <si>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</si>
  <si>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</si>
  <si>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</si>
  <si>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</si>
  <si>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</si>
  <si>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</si>
  <si>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</si>
  <si>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</si>
  <si>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</si>
  <si>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</si>
  <si>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</si>
  <si>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</si>
  <si>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</si>
  <si>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</si>
  <si>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</si>
  <si>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</si>
  <si>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</si>
  <si>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</si>
  <si>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</si>
  <si>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</si>
  <si>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</si>
  <si>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</si>
  <si>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</si>
  <si>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PROJECT 1</t>
  </si>
  <si>
    <t>Identificar stakeholders</t>
  </si>
  <si>
    <t>Identificación de las partes interesadas del proyecto</t>
  </si>
  <si>
    <t>Completo</t>
  </si>
  <si>
    <t>14/03/2026</t>
  </si>
  <si>
    <t>Definir problema</t>
  </si>
  <si>
    <t>Definición del problema que el sistema resolverá</t>
  </si>
  <si>
    <t>21/03/2026</t>
  </si>
  <si>
    <t>Definir alcance</t>
  </si>
  <si>
    <t>Delimitación del alcance del sistema</t>
  </si>
  <si>
    <t>Definir objetivos generales</t>
  </si>
  <si>
    <t>Definición del objetivo general del proyecto</t>
  </si>
  <si>
    <t>Definir objetivos específicos</t>
  </si>
  <si>
    <t>Definición de objetivos específicos del sistema</t>
  </si>
  <si>
    <t>Definir restricciones</t>
  </si>
  <si>
    <t>Identificación de restricciones del proyecto</t>
  </si>
  <si>
    <t>14/02/2026</t>
  </si>
  <si>
    <t>Definir entregables</t>
  </si>
  <si>
    <t>Definición de los entregables del proyecto</t>
  </si>
  <si>
    <t>Documento de visión</t>
  </si>
  <si>
    <t>Elaboración del documento de visión del sistema</t>
  </si>
  <si>
    <t>Validación con equipo</t>
  </si>
  <si>
    <t>Validación del proyecto con el equipo</t>
  </si>
  <si>
    <t>Identificar actores</t>
  </si>
  <si>
    <t>Identificación de los actores del sistema</t>
  </si>
  <si>
    <t>Casos de uso principales</t>
  </si>
  <si>
    <t>Definición de los casos de uso principales</t>
  </si>
  <si>
    <t>21/02/2026</t>
  </si>
  <si>
    <t>Documentar casos de uso</t>
  </si>
  <si>
    <t>Documentación de los casos de uso</t>
  </si>
  <si>
    <t>Flujos principales</t>
  </si>
  <si>
    <t>Definición del flujo principal</t>
  </si>
  <si>
    <t>Flujos alternativos</t>
  </si>
  <si>
    <t>Definición de flujos alternativos</t>
  </si>
  <si>
    <t>Priorizacion</t>
  </si>
  <si>
    <t>Priorización de requerimientos</t>
  </si>
  <si>
    <t>Validacion requerimientos</t>
  </si>
  <si>
    <t>Validación de requerimientos</t>
  </si>
  <si>
    <t>28/02/2026</t>
  </si>
  <si>
    <t>Seguridad</t>
  </si>
  <si>
    <t>Definición de requisitos de seguridad</t>
  </si>
  <si>
    <t>Rendimiento</t>
  </si>
  <si>
    <t>Definición de requisitos de rendimiento</t>
  </si>
  <si>
    <t>Disponibilidad</t>
  </si>
  <si>
    <t>Definición de disponibilidad del sistema</t>
  </si>
  <si>
    <t>Usabilidad</t>
  </si>
  <si>
    <t>Definición de requisitos de usabilidad</t>
  </si>
  <si>
    <t>Escalabilidad</t>
  </si>
  <si>
    <t>Definición de escalabilidad del sistema</t>
  </si>
  <si>
    <t>No Iniciado</t>
  </si>
  <si>
    <t>28/03/2026</t>
  </si>
  <si>
    <t>Compatibilidad</t>
  </si>
  <si>
    <t>Definición de compatibilidad del sistema</t>
  </si>
  <si>
    <t>Estandares desarrollo</t>
  </si>
  <si>
    <t>Definición de estándares de desarrollo</t>
  </si>
  <si>
    <t>Identificar entidades</t>
  </si>
  <si>
    <t>Identificación de entidades del sistema</t>
  </si>
  <si>
    <t>Atributos entidades</t>
  </si>
  <si>
    <t>Definición de atributos de entidades</t>
  </si>
  <si>
    <t>Relaciones</t>
  </si>
  <si>
    <t>Definición de relaciones entre entidades</t>
  </si>
  <si>
    <t>18/04/2026</t>
  </si>
  <si>
    <t>Modelo conceptual</t>
  </si>
  <si>
    <t>Diseño del modelo conceptual de datos</t>
  </si>
  <si>
    <t>Modelo logico</t>
  </si>
  <si>
    <t>Diseño del modelo lógico de datos</t>
  </si>
  <si>
    <t>Normalizacion</t>
  </si>
  <si>
    <t>Proceso de normalización</t>
  </si>
  <si>
    <t>Modelo fisico</t>
  </si>
  <si>
    <t>Diseño del modelo físico de datos</t>
  </si>
  <si>
    <t>Claves primarias</t>
  </si>
  <si>
    <t>Definición de claves primarias</t>
  </si>
  <si>
    <t>Claves foraneas</t>
  </si>
  <si>
    <t>Definición de claves foráneas</t>
  </si>
  <si>
    <t>Seleccionar arquitectura</t>
  </si>
  <si>
    <t>Selección de la arquitectura del sistema</t>
  </si>
  <si>
    <t>Diseno MVC</t>
  </si>
  <si>
    <t>Diseño de arquitectura en capas MVC</t>
  </si>
  <si>
    <t>Estructura backend</t>
  </si>
  <si>
    <t>Definición de la estructura del backend</t>
  </si>
  <si>
    <t>Estructura frontend</t>
  </si>
  <si>
    <t>Definición de la estructura del frontend</t>
  </si>
  <si>
    <t>Patron datos</t>
  </si>
  <si>
    <t>Definición del patrón de acceso a datos</t>
  </si>
  <si>
    <t>API REST diseno</t>
  </si>
  <si>
    <t>Diseño de la API REST</t>
  </si>
  <si>
    <t>Diagrama componentes</t>
  </si>
  <si>
    <t>Elaboración del diagrama de componentes</t>
  </si>
  <si>
    <t>Diagrama despliegue</t>
  </si>
  <si>
    <t>Elaboración del diagrama de despliegue</t>
  </si>
  <si>
    <t>Instalar herramientas</t>
  </si>
  <si>
    <t>Instalación de herramientas de desarrollo</t>
  </si>
  <si>
    <t>25/04/2026</t>
  </si>
  <si>
    <t>16/05/2026</t>
  </si>
  <si>
    <t>Repositorio Git</t>
  </si>
  <si>
    <t>Configuración del repositorio Git</t>
  </si>
  <si>
    <t>Configurar .NET</t>
  </si>
  <si>
    <t>Configuración del entorno .NET</t>
  </si>
  <si>
    <t>Configurar SQL Server</t>
  </si>
  <si>
    <t>Configuración de SQL Server</t>
  </si>
  <si>
    <t>Base de datos inicial</t>
  </si>
  <si>
    <t>Creación de la base de datos inicial</t>
  </si>
  <si>
    <t>Conexion BD</t>
  </si>
  <si>
    <t>Configuración de conexión a BD</t>
  </si>
  <si>
    <t>30/05/2026</t>
  </si>
  <si>
    <t>Dependencias</t>
  </si>
  <si>
    <t>Configuración de dependencias</t>
  </si>
  <si>
    <t>Estructura proyecto</t>
  </si>
  <si>
    <t>Creación de estructura base del proyecto</t>
  </si>
  <si>
    <t>Crear proyecto API</t>
  </si>
  <si>
    <t>Creación del proyecto API</t>
  </si>
  <si>
    <t>Estructura carpetas</t>
  </si>
  <si>
    <t>Definición de estructura de carpetas</t>
  </si>
  <si>
    <t>Configuracion sistema</t>
  </si>
  <si>
    <t>Configuración general del sistema</t>
  </si>
  <si>
    <t>13/06/2026</t>
  </si>
  <si>
    <t>Modelos entidades</t>
  </si>
  <si>
    <t>Implementación de modelos de entidades</t>
  </si>
  <si>
    <t>Clases dominio</t>
  </si>
  <si>
    <t>Creación de clases de dominio</t>
  </si>
  <si>
    <t>Mapeo entidades</t>
  </si>
  <si>
    <t>Configuración del mapeo de entidades</t>
  </si>
  <si>
    <t>DTOs</t>
  </si>
  <si>
    <t>Implementación de DTOs</t>
  </si>
  <si>
    <t>Repositorio</t>
  </si>
  <si>
    <t>Implementación del patrón repositorio</t>
  </si>
  <si>
    <t>Interfaces</t>
  </si>
  <si>
    <t>Definición de interfaces de repositorio</t>
  </si>
  <si>
    <t>Servicios datos</t>
  </si>
  <si>
    <t>Implementación de servicios de datos</t>
  </si>
  <si>
    <t>CRUD incidentes</t>
  </si>
  <si>
    <t>Desarrollo CRUD de incidentes</t>
  </si>
  <si>
    <t>CRUD usuarios</t>
  </si>
  <si>
    <t>Desarrollo CRUD de usuarios</t>
  </si>
  <si>
    <t>Filtros fecha</t>
  </si>
  <si>
    <t>Implementación de filtros por fecha</t>
  </si>
  <si>
    <t>23/05/2026</t>
  </si>
  <si>
    <t>Filtros localidad</t>
  </si>
  <si>
    <t>Implementación de filtros por localidad</t>
  </si>
  <si>
    <t>Busqueda</t>
  </si>
  <si>
    <t>Implementación de búsqueda</t>
  </si>
  <si>
    <t>Validaciones</t>
  </si>
  <si>
    <t>Implementación de validaciones</t>
  </si>
  <si>
    <t>Manejo errores</t>
  </si>
  <si>
    <t>Implementación de manejo de errores</t>
  </si>
  <si>
    <t>Excepciones</t>
  </si>
  <si>
    <t>Implementación de excepciones</t>
  </si>
  <si>
    <t>Controladores</t>
  </si>
  <si>
    <t>Implementación de controladores</t>
  </si>
  <si>
    <t>Endpoints</t>
  </si>
  <si>
    <t>Implementación de endpoints</t>
  </si>
  <si>
    <t>Swagger</t>
  </si>
  <si>
    <t>Configuración de Swagger</t>
  </si>
  <si>
    <t>Autenticacion</t>
  </si>
  <si>
    <t>Implementación de autenticación</t>
  </si>
  <si>
    <t>Wireframes</t>
  </si>
  <si>
    <t>Diseño de wireframes</t>
  </si>
  <si>
    <t>Prototipo</t>
  </si>
  <si>
    <t>Diseño de prototipo</t>
  </si>
  <si>
    <t>Navegacion</t>
  </si>
  <si>
    <t>Definición de navegación</t>
  </si>
  <si>
    <t>Layout</t>
  </si>
  <si>
    <t>Diseño del layout</t>
  </si>
  <si>
    <t>Componentes UI</t>
  </si>
  <si>
    <t>Diseño de componentes UI</t>
  </si>
  <si>
    <t>Interfaz usuario</t>
  </si>
  <si>
    <t>Implementación de interfaz de usuario</t>
  </si>
  <si>
    <t>Formulario incidentes</t>
  </si>
  <si>
    <t>Implementación de formulario de incidentes</t>
  </si>
  <si>
    <t>Listado incidentes</t>
  </si>
  <si>
    <t>Implementación de listado de incidentes</t>
  </si>
  <si>
    <t>Detalle incidentes</t>
  </si>
  <si>
    <t>Implementación de detalle de incidentes</t>
  </si>
  <si>
    <t>Mapa</t>
  </si>
  <si>
    <t>Implementación de mapa</t>
  </si>
  <si>
    <t>Filtros</t>
  </si>
  <si>
    <t>Implementación de filtros</t>
  </si>
  <si>
    <t>20/06/2026</t>
  </si>
  <si>
    <t>Validación de formularios</t>
  </si>
  <si>
    <t>Integrar frontend API</t>
  </si>
  <si>
    <t>Integración del frontend con la API</t>
  </si>
  <si>
    <t>Consumo endpoints</t>
  </si>
  <si>
    <t>Consumo de endpoints</t>
  </si>
  <si>
    <t>Respuestas HTTP</t>
  </si>
  <si>
    <t>Manejo de respuestas HTTP</t>
  </si>
  <si>
    <t>Manejo errores FE</t>
  </si>
  <si>
    <t>Manejo de errores en frontend</t>
  </si>
  <si>
    <t>26/05/2026</t>
  </si>
  <si>
    <t>Validacion flujo</t>
  </si>
  <si>
    <t>Validación del flujo completo</t>
  </si>
  <si>
    <t>27/05/2026</t>
  </si>
  <si>
    <t>Casos de prueba</t>
  </si>
  <si>
    <t>Diseño de casos de prueba</t>
  </si>
  <si>
    <t>28/05/2026</t>
  </si>
  <si>
    <t>Pruebas unitarias</t>
  </si>
  <si>
    <t>Ejecución de pruebas unitarias</t>
  </si>
  <si>
    <t>29/05/2026</t>
  </si>
  <si>
    <t>Pruebas integracion</t>
  </si>
  <si>
    <t>Ejecución de pruebas de integración</t>
  </si>
  <si>
    <t>Pruebas API</t>
  </si>
  <si>
    <t>Ejecución de pruebas de API</t>
  </si>
  <si>
    <t>31/05/2026</t>
  </si>
  <si>
    <t>Validacion endpoints</t>
  </si>
  <si>
    <t>Validación de endpoints</t>
  </si>
  <si>
    <t>Registro incidentes</t>
  </si>
  <si>
    <t>Prueba de registro de incidentes</t>
  </si>
  <si>
    <t>Consulta incidentes</t>
  </si>
  <si>
    <t>Prueba de consulta de incidentes</t>
  </si>
  <si>
    <t>Prueba de filtros</t>
  </si>
  <si>
    <t>Prueba de funcionalidad de mapa</t>
  </si>
  <si>
    <t>UI</t>
  </si>
  <si>
    <t>Prueba de interfaz de usuario</t>
  </si>
  <si>
    <t>Cumplimiento req</t>
  </si>
  <si>
    <t>Cumplimiento objetivos</t>
  </si>
  <si>
    <t>Validación de objetivos</t>
  </si>
  <si>
    <t>Pruebas finales</t>
  </si>
  <si>
    <t>Ejecución de pruebas finales</t>
  </si>
  <si>
    <t>Feedback docente</t>
  </si>
  <si>
    <t>Recepción de feedback del docente</t>
  </si>
  <si>
    <t>Ajustes finales</t>
  </si>
  <si>
    <t>Implementación de ajustes finales</t>
  </si>
  <si>
    <t>Doc arquitectura</t>
  </si>
  <si>
    <t>Documentación de arquitectura</t>
  </si>
  <si>
    <t>Doc base datos</t>
  </si>
  <si>
    <t>Documentación de base de datos</t>
  </si>
  <si>
    <t>Doc API</t>
  </si>
  <si>
    <t>Documentación de API</t>
  </si>
  <si>
    <t>14/06/2026</t>
  </si>
  <si>
    <t>Manual tecnico</t>
  </si>
  <si>
    <t>Elaboración de manual técnico</t>
  </si>
  <si>
    <t>15/06/2026</t>
  </si>
  <si>
    <t>Manual usuario</t>
  </si>
  <si>
    <t>Elaboración de manual de usuario</t>
  </si>
  <si>
    <t>16/06/2026</t>
  </si>
  <si>
    <t>Lecciones aprendidas</t>
  </si>
  <si>
    <t>Documentación de lecciones aprendidas</t>
  </si>
  <si>
    <t>17/06/2026</t>
  </si>
  <si>
    <t>Presentacion</t>
  </si>
  <si>
    <t>Preparación de presentación</t>
  </si>
  <si>
    <t>18/06/2026</t>
  </si>
  <si>
    <t>Entrega final</t>
  </si>
  <si>
    <t>Entrega final del proyecto</t>
  </si>
  <si>
    <t>19/06/2026</t>
  </si>
  <si>
    <t>SUBTOTAL</t>
  </si>
  <si>
    <t>listas desplegables</t>
  </si>
  <si>
    <t>SI / NO</t>
  </si>
  <si>
    <t>PRIORIDAD</t>
  </si>
  <si>
    <t>Si</t>
  </si>
  <si>
    <t>Baja</t>
  </si>
  <si>
    <t>No</t>
  </si>
  <si>
    <t>Media</t>
  </si>
  <si>
    <t>En Progreso</t>
  </si>
  <si>
    <t>Alta</t>
  </si>
  <si>
    <t>Requiere Revisión</t>
  </si>
  <si>
    <t>Aprobado</t>
  </si>
  <si>
    <t>Atrasado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</si>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</sst>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0.0"/>
    <numFmt numFmtId="165" formatCode="mm/dd/yy;@"/>
    <numFmt numFmtId="166" formatCode="_(&quot;$&quot;* #,##0_);_(&quot;$&quot;* \(#,##0\);_(&quot;$&quot;* &quot;-&quot;??_);_(@_)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0"/>
      <name val="Century Gothic"/>
      <family val="1"/>
    </font>
    <font>
      <sz val="10"/>
      <name val="Century Gothic"/>
      <family val="1"/>
    </font>
    <font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b/>
      <sz val="22"/>
      <color theme="1" tint="0.34998626667073579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2"/>
    </font>
    <font>
      <sz val="10"/>
      <name val="Century Gothic"/>
      <family val="2"/>
    </font>
    <font>
      <sz val="11"/>
      <color indexed="8"/>
      <name val="Century Gothic"/>
      <family val="1"/>
    </font>
    <font>
      <b/>
      <sz val="10"/>
      <color theme="1"/>
      <name val="Century Gothic"/>
      <family val="1"/>
    </font>
    <font>
      <sz val="22"/>
      <color theme="1" tint="0.34998626667073579"/>
      <name val="Century Gothic"/>
      <family val="1"/>
    </font>
    <font>
      <b/>
      <sz val="24"/>
      <color theme="1" tint="0.34998626667073579"/>
      <name val="Century Gothic"/>
      <family val="1"/>
    </font>
    <font>
      <sz val="12"/>
      <color theme="1" tint="0.34998626667073579"/>
      <name val="Century Gothic"/>
      <family val="1"/>
    </font>
    <font>
      <b/>
      <u/>
      <sz val="22"/>
      <color theme="1" tint="0.34998626667073579"/>
      <name val="Century Gothic"/>
      <family val="1"/>
    </font>
    <font>
      <sz val="9"/>
      <name val="Century Gothic"/>
      <family val="1"/>
    </font>
  </fonts>
  <fills count="1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B6FBF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/>
      <bottom style="thin">
        <color theme="0" tint="-0.249977111117893"/>
      </bottom>
      <diagonal/>
    </border>
    <border>
      <left style="double">
        <color theme="0" tint="-0.34998626667073579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34998626667073579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ashed">
        <color theme="0" tint="-0.34998626667073579"/>
      </right>
      <top/>
      <bottom/>
      <diagonal/>
    </border>
    <border>
      <left style="thin">
        <color theme="0" tint="-0.249977111117893"/>
      </left>
      <right style="dashed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</cellStyleXfs>
  <cellXfs count="76">
    <xf numFmtId="0" fontId="0" fillId="0" borderId="0" xfId="0"/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 indent="1"/>
    </xf>
    <xf numFmtId="165" fontId="10" fillId="5" borderId="1" xfId="0" applyNumberFormat="1" applyFont="1" applyFill="1" applyBorder="1" applyAlignment="1">
      <alignment horizontal="left" vertical="center" wrapText="1" indent="1"/>
    </xf>
    <xf numFmtId="0" fontId="8" fillId="3" borderId="0" xfId="0" applyFont="1" applyFill="1" applyAlignment="1">
      <alignment vertical="center"/>
    </xf>
    <xf numFmtId="0" fontId="12" fillId="0" borderId="0" xfId="0" applyFont="1"/>
    <xf numFmtId="0" fontId="5" fillId="7" borderId="1" xfId="0" applyFont="1" applyFill="1" applyBorder="1" applyAlignment="1">
      <alignment horizontal="left" vertical="center" wrapText="1" indent="1"/>
    </xf>
    <xf numFmtId="0" fontId="5" fillId="10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left" vertical="center" wrapText="1" indent="1"/>
    </xf>
    <xf numFmtId="0" fontId="9" fillId="12" borderId="1" xfId="0" applyFont="1" applyFill="1" applyBorder="1" applyAlignment="1">
      <alignment horizontal="left" vertical="center" indent="1"/>
    </xf>
    <xf numFmtId="0" fontId="9" fillId="13" borderId="1" xfId="0" applyFont="1" applyFill="1" applyBorder="1" applyAlignment="1">
      <alignment horizontal="left" vertical="center" indent="1"/>
    </xf>
    <xf numFmtId="0" fontId="9" fillId="7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 indent="1"/>
    </xf>
    <xf numFmtId="0" fontId="9" fillId="15" borderId="1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10" fillId="2" borderId="2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 applyProtection="1">
      <alignment horizontal="left" vertical="center" wrapText="1" indent="1"/>
      <protection locked="0"/>
    </xf>
    <xf numFmtId="0" fontId="3" fillId="5" borderId="1" xfId="0" applyFont="1" applyFill="1" applyBorder="1" applyAlignment="1">
      <alignment horizontal="left" vertical="center" wrapText="1" indent="1"/>
    </xf>
    <xf numFmtId="7" fontId="10" fillId="5" borderId="1" xfId="1" applyNumberFormat="1" applyFont="1" applyFill="1" applyBorder="1" applyAlignment="1" applyProtection="1">
      <alignment vertical="center"/>
      <protection locked="0"/>
    </xf>
    <xf numFmtId="0" fontId="16" fillId="3" borderId="0" xfId="0" applyFont="1" applyFill="1" applyAlignment="1">
      <alignment vertical="center"/>
    </xf>
    <xf numFmtId="5" fontId="10" fillId="5" borderId="1" xfId="0" applyNumberFormat="1" applyFont="1" applyFill="1" applyBorder="1" applyAlignment="1" applyProtection="1">
      <alignment vertical="center"/>
      <protection locked="0"/>
    </xf>
    <xf numFmtId="165" fontId="5" fillId="0" borderId="1" xfId="0" applyNumberFormat="1" applyFont="1" applyBorder="1" applyAlignment="1" applyProtection="1">
      <alignment horizontal="left" vertical="center" wrapText="1" indent="1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7" fontId="4" fillId="0" borderId="1" xfId="1" applyNumberFormat="1" applyFont="1" applyFill="1" applyBorder="1" applyAlignment="1" applyProtection="1">
      <alignment horizontal="right" vertical="center"/>
      <protection locked="0"/>
    </xf>
    <xf numFmtId="5" fontId="4" fillId="0" borderId="1" xfId="0" applyNumberFormat="1" applyFont="1" applyBorder="1" applyAlignment="1" applyProtection="1">
      <alignment horizontal="right" vertical="center"/>
      <protection locked="0"/>
    </xf>
    <xf numFmtId="0" fontId="10" fillId="2" borderId="10" xfId="0" applyFont="1" applyFill="1" applyBorder="1" applyAlignment="1">
      <alignment horizontal="center" vertical="center" wrapText="1"/>
    </xf>
    <xf numFmtId="5" fontId="10" fillId="5" borderId="10" xfId="1" applyNumberFormat="1" applyFont="1" applyFill="1" applyBorder="1" applyAlignment="1" applyProtection="1">
      <alignment vertical="center"/>
      <protection locked="0"/>
    </xf>
    <xf numFmtId="0" fontId="10" fillId="2" borderId="8" xfId="0" applyFont="1" applyFill="1" applyBorder="1" applyAlignment="1">
      <alignment horizontal="center" vertical="center" wrapText="1"/>
    </xf>
    <xf numFmtId="164" fontId="11" fillId="5" borderId="8" xfId="0" applyNumberFormat="1" applyFont="1" applyFill="1" applyBorder="1" applyAlignment="1" applyProtection="1">
      <alignment horizontal="left" vertical="center"/>
      <protection locked="0"/>
    </xf>
    <xf numFmtId="0" fontId="10" fillId="2" borderId="11" xfId="0" applyFont="1" applyFill="1" applyBorder="1" applyAlignment="1">
      <alignment horizontal="center" vertical="center" wrapText="1"/>
    </xf>
    <xf numFmtId="166" fontId="10" fillId="5" borderId="14" xfId="1" applyNumberFormat="1" applyFont="1" applyFill="1" applyBorder="1" applyAlignment="1" applyProtection="1">
      <alignment vertical="center"/>
      <protection locked="0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166" fontId="10" fillId="5" borderId="15" xfId="1" applyNumberFormat="1" applyFont="1" applyFill="1" applyBorder="1" applyAlignment="1" applyProtection="1">
      <alignment vertical="center"/>
    </xf>
    <xf numFmtId="0" fontId="16" fillId="3" borderId="16" xfId="0" applyFont="1" applyFill="1" applyBorder="1" applyAlignment="1">
      <alignment vertical="center"/>
    </xf>
    <xf numFmtId="0" fontId="10" fillId="2" borderId="17" xfId="0" applyFont="1" applyFill="1" applyBorder="1" applyAlignment="1">
      <alignment horizontal="center" vertical="center" wrapText="1"/>
    </xf>
    <xf numFmtId="165" fontId="10" fillId="5" borderId="18" xfId="0" applyNumberFormat="1" applyFont="1" applyFill="1" applyBorder="1" applyAlignment="1">
      <alignment horizontal="left" vertical="center" wrapText="1" indent="1"/>
    </xf>
    <xf numFmtId="165" fontId="5" fillId="4" borderId="1" xfId="0" applyNumberFormat="1" applyFont="1" applyFill="1" applyBorder="1" applyAlignment="1">
      <alignment horizontal="left" vertical="center" wrapText="1" indent="1"/>
    </xf>
    <xf numFmtId="165" fontId="5" fillId="4" borderId="18" xfId="0" applyNumberFormat="1" applyFont="1" applyFill="1" applyBorder="1" applyAlignment="1">
      <alignment horizontal="left" vertical="center" wrapText="1" indent="1"/>
    </xf>
    <xf numFmtId="0" fontId="5" fillId="4" borderId="8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165" fontId="5" fillId="0" borderId="18" xfId="0" applyNumberFormat="1" applyFont="1" applyBorder="1" applyAlignment="1" applyProtection="1">
      <alignment horizontal="left" vertical="center" wrapText="1" indent="1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5" fontId="4" fillId="4" borderId="1" xfId="1" applyNumberFormat="1" applyFont="1" applyFill="1" applyBorder="1" applyAlignment="1" applyProtection="1">
      <alignment horizontal="right" vertical="center"/>
      <protection locked="0"/>
    </xf>
    <xf numFmtId="5" fontId="4" fillId="0" borderId="10" xfId="1" applyNumberFormat="1" applyFont="1" applyFill="1" applyBorder="1" applyAlignment="1" applyProtection="1">
      <alignment vertical="center"/>
      <protection locked="0"/>
    </xf>
    <xf numFmtId="166" fontId="5" fillId="0" borderId="15" xfId="1" applyNumberFormat="1" applyFont="1" applyFill="1" applyBorder="1" applyAlignment="1" applyProtection="1">
      <alignment vertical="center"/>
    </xf>
    <xf numFmtId="166" fontId="4" fillId="6" borderId="14" xfId="1" applyNumberFormat="1" applyFont="1" applyFill="1" applyBorder="1" applyAlignment="1" applyProtection="1">
      <alignment horizontal="left" vertical="center"/>
      <protection locked="0"/>
    </xf>
    <xf numFmtId="166" fontId="5" fillId="7" borderId="14" xfId="1" applyNumberFormat="1" applyFont="1" applyFill="1" applyBorder="1" applyAlignment="1" applyProtection="1">
      <alignment horizontal="left" vertical="center"/>
    </xf>
    <xf numFmtId="0" fontId="5" fillId="16" borderId="1" xfId="0" applyFont="1" applyFill="1" applyBorder="1" applyAlignment="1">
      <alignment horizontal="left" vertical="center" wrapText="1" indent="1"/>
    </xf>
    <xf numFmtId="0" fontId="9" fillId="17" borderId="1" xfId="0" applyFont="1" applyFill="1" applyBorder="1" applyAlignment="1">
      <alignment horizontal="left" vertical="center" wrapText="1" indent="1" readingOrder="1"/>
    </xf>
    <xf numFmtId="0" fontId="9" fillId="18" borderId="1" xfId="0" applyFont="1" applyFill="1" applyBorder="1" applyAlignment="1">
      <alignment horizontal="left" vertical="center" wrapText="1" indent="1" readingOrder="1"/>
    </xf>
    <xf numFmtId="0" fontId="17" fillId="3" borderId="0" xfId="0" applyFont="1" applyFill="1" applyAlignment="1">
      <alignment vertical="center"/>
    </xf>
    <xf numFmtId="7" fontId="18" fillId="0" borderId="1" xfId="1" applyNumberFormat="1" applyFont="1" applyFill="1" applyBorder="1" applyAlignment="1" applyProtection="1">
      <alignment horizontal="right" vertical="center"/>
      <protection locked="0"/>
    </xf>
    <xf numFmtId="0" fontId="10" fillId="5" borderId="1" xfId="0" applyFont="1" applyFill="1" applyBorder="1" applyAlignment="1">
      <alignment horizontal="left" vertical="center" indent="1"/>
    </xf>
    <xf numFmtId="0" fontId="10" fillId="9" borderId="7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</cellXfs>
  <cellStyles count="8">
    <cellStyle name="Hipervínculo visitado" xfId="6" builtinId="9" hidden="1"/>
    <cellStyle name="Hipervínculo visitado" xfId="4" builtinId="9" hidden="1"/>
    <cellStyle name="Hipervínculo visitado" xfId="5" builtinId="9" hidden="1"/>
    <cellStyle name="Hipervínculo visitado" xfId="3" builtinId="9" hidden="1"/>
    <cellStyle name="Hipervínculo visitado" xfId="2" builtinId="9" hidden="1"/>
    <cellStyle name="Moneda" xfId="1" builtinId="4"/>
    <cellStyle name="Normal" xfId="0" builtinId="0"/>
    <cellStyle name="Normal 2" xfId="7" xr:uid="{096755C3-0BB5-E94E-8E6C-945830891248}"/>
  </cellStyles>
  <dxfs count="27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rgb="FF600000"/>
      </font>
      <fill>
        <patternFill>
          <bgColor rgb="FFFF927C"/>
        </patternFill>
      </fill>
    </dxf>
    <dxf>
      <font>
        <color theme="1"/>
      </font>
      <fill>
        <patternFill>
          <fgColor theme="1"/>
          <bgColor rgb="FFE7FFCA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ABEFEA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5EE9E7"/>
        </patternFill>
      </fill>
    </dxf>
    <dxf>
      <fill>
        <patternFill>
          <bgColor rgb="FFFFF2CC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</dxfs>
  <tableStyles count="0" defaultTableStyle="TableStyleMedium9" defaultPivotStyle="PivotStyleMedium4"/>
  <colors>
    <mruColors>
      <color rgb="FFFFF2CC"/>
      <color rgb="FF5EE9E7"/>
      <color rgb="FFABEFEA"/>
      <color rgb="FF600000"/>
      <color rgb="FF880000"/>
      <color rgb="FFFF927C"/>
      <color rgb="FFFF8B78"/>
      <color rgb="FFE7FFCA"/>
      <color rgb="FFE8EFF9"/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A1F2-2597-1742-BA2F-7AF250B49533}">
  <sheetPr>
    <tabColor theme="3" tint="0.59999389629810485"/>
    <pageSetUpPr fitToPage="1"/>
  </sheetPr>
  <dimension ref="A1:AO404"/>
  <sheetViews>
    <sheetView showGridLines="0" tabSelected="1" zoomScale="55" zoomScaleNormal="55" workbookViewId="0">
      <selection activeCell="E4" sqref="E4"/>
    </sheetView>
  </sheetViews>
  <sheetFormatPr defaultColWidth="11" defaultRowHeight="13.5"/>
  <cols>
    <col min="1" max="1" width="3.125" style="2" customWidth="1"/>
    <col min="2" max="2" width="40" style="2" customWidth="1"/>
    <col min="3" max="3" width="20.875" style="2" customWidth="1"/>
    <col min="4" max="4" width="12.875" style="2" customWidth="1"/>
    <col min="5" max="7" width="11.625" style="2" customWidth="1"/>
    <col min="8" max="8" width="8.875" style="2" customWidth="1"/>
    <col min="9" max="9" width="10" style="2" customWidth="1"/>
    <col min="10" max="10" width="11.875" style="2" customWidth="1"/>
    <col min="11" max="11" width="8.875" style="2" customWidth="1"/>
    <col min="12" max="12" width="10" style="2" customWidth="1"/>
    <col min="13" max="16" width="11.875" style="2" customWidth="1"/>
    <col min="17" max="19" width="12.875" style="2" customWidth="1"/>
    <col min="20" max="20" width="3.125" style="2" customWidth="1"/>
    <col min="21" max="16384" width="11" style="2"/>
  </cols>
  <sheetData>
    <row r="1" spans="1:41" ht="45" customHeight="1" thickBot="1">
      <c r="A1" s="1"/>
      <c r="B1" s="25" t="s">
        <v>0</v>
      </c>
      <c r="C1" s="13"/>
      <c r="D1" s="13"/>
      <c r="E1" s="13"/>
      <c r="F1" s="66"/>
      <c r="G1" s="13"/>
      <c r="H1" s="13"/>
      <c r="I1" s="13"/>
      <c r="J1" s="13"/>
      <c r="K1" s="13"/>
      <c r="L1" s="13"/>
      <c r="M1" s="13"/>
      <c r="N1" s="13"/>
      <c r="O1" s="3"/>
      <c r="P1" s="3"/>
      <c r="Q1" s="3"/>
      <c r="R1" s="3"/>
      <c r="S1" s="3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s="5" customFormat="1" ht="35.1" customHeight="1">
      <c r="A2" s="4"/>
      <c r="B2" s="31" t="s">
        <v>1</v>
      </c>
      <c r="C2" s="31"/>
      <c r="D2" s="31"/>
      <c r="E2" s="31"/>
      <c r="F2" s="31"/>
      <c r="G2" s="46"/>
      <c r="H2" s="69" t="s">
        <v>2</v>
      </c>
      <c r="I2" s="70"/>
      <c r="J2" s="70"/>
      <c r="K2" s="70" t="s">
        <v>3</v>
      </c>
      <c r="L2" s="70"/>
      <c r="M2" s="70"/>
      <c r="N2" s="71" t="s">
        <v>4</v>
      </c>
      <c r="O2" s="72"/>
      <c r="P2" s="73"/>
      <c r="Q2" s="74" t="s">
        <v>5</v>
      </c>
      <c r="R2" s="72"/>
      <c r="S2" s="75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 s="5" customFormat="1" ht="35.1" customHeight="1">
      <c r="A3" s="4"/>
      <c r="B3" s="26" t="s">
        <v>6</v>
      </c>
      <c r="C3" s="26" t="s">
        <v>7</v>
      </c>
      <c r="D3" s="26" t="s">
        <v>8</v>
      </c>
      <c r="E3" s="9" t="s">
        <v>9</v>
      </c>
      <c r="F3" s="9" t="s">
        <v>10</v>
      </c>
      <c r="G3" s="47" t="s">
        <v>11</v>
      </c>
      <c r="H3" s="39" t="s">
        <v>12</v>
      </c>
      <c r="I3" s="10" t="s">
        <v>13</v>
      </c>
      <c r="J3" s="10" t="s">
        <v>14</v>
      </c>
      <c r="K3" s="9" t="s">
        <v>15</v>
      </c>
      <c r="L3" s="9" t="s">
        <v>16</v>
      </c>
      <c r="M3" s="9" t="s">
        <v>17</v>
      </c>
      <c r="N3" s="9" t="s">
        <v>18</v>
      </c>
      <c r="O3" s="9" t="s">
        <v>19</v>
      </c>
      <c r="P3" s="37" t="s">
        <v>20</v>
      </c>
      <c r="Q3" s="44" t="s">
        <v>21</v>
      </c>
      <c r="R3" s="43" t="s">
        <v>22</v>
      </c>
      <c r="S3" s="41" t="s">
        <v>23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s="5" customFormat="1" ht="30" customHeight="1">
      <c r="A4" s="4"/>
      <c r="B4" s="27" t="s">
        <v>24</v>
      </c>
      <c r="C4" s="27"/>
      <c r="D4" s="27"/>
      <c r="E4" s="49"/>
      <c r="F4" s="49"/>
      <c r="G4" s="50"/>
      <c r="H4" s="51"/>
      <c r="I4" s="52"/>
      <c r="J4" s="52"/>
      <c r="K4" s="52"/>
      <c r="L4" s="52"/>
      <c r="M4" s="52"/>
      <c r="N4" s="52"/>
      <c r="O4" s="52"/>
      <c r="P4" s="53"/>
      <c r="Q4" s="54"/>
      <c r="R4" s="55"/>
      <c r="S4" s="55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s="5" customFormat="1" ht="36.75">
      <c r="A5" s="4"/>
      <c r="B5" s="28" t="s">
        <v>25</v>
      </c>
      <c r="C5" s="28" t="s">
        <v>26</v>
      </c>
      <c r="D5" s="6" t="s">
        <v>27</v>
      </c>
      <c r="E5" s="33"/>
      <c r="F5" s="33">
        <v>46205</v>
      </c>
      <c r="G5" s="56" t="s">
        <v>28</v>
      </c>
      <c r="H5" s="57">
        <v>4</v>
      </c>
      <c r="I5" s="35">
        <v>25000</v>
      </c>
      <c r="J5" s="58">
        <f>H5*I5</f>
        <v>100000</v>
      </c>
      <c r="K5" s="34">
        <v>0</v>
      </c>
      <c r="L5" s="35">
        <v>0</v>
      </c>
      <c r="M5" s="58">
        <f>K5*L5</f>
        <v>0</v>
      </c>
      <c r="N5" s="36">
        <v>0</v>
      </c>
      <c r="O5" s="36">
        <v>15000</v>
      </c>
      <c r="P5" s="59">
        <v>5000</v>
      </c>
      <c r="Q5" s="60">
        <v>161000</v>
      </c>
      <c r="R5" s="61">
        <v>120000</v>
      </c>
      <c r="S5" s="62">
        <f t="shared" ref="S5:S13" si="0">R5-Q5</f>
        <v>-41000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pans="1:41" s="5" customFormat="1" ht="67.5" customHeight="1">
      <c r="A6" s="4"/>
      <c r="B6" s="28" t="s">
        <v>29</v>
      </c>
      <c r="C6" s="28" t="s">
        <v>30</v>
      </c>
      <c r="D6" s="6" t="s">
        <v>27</v>
      </c>
      <c r="E6" s="33"/>
      <c r="F6" s="33">
        <v>46205</v>
      </c>
      <c r="G6" s="56" t="s">
        <v>31</v>
      </c>
      <c r="H6" s="57">
        <v>4</v>
      </c>
      <c r="I6" s="35">
        <v>25000</v>
      </c>
      <c r="J6" s="58">
        <f t="shared" ref="J6:J13" si="1">H6*I6</f>
        <v>100000</v>
      </c>
      <c r="K6" s="34">
        <v>0</v>
      </c>
      <c r="L6" s="35">
        <v>0</v>
      </c>
      <c r="M6" s="58">
        <f t="shared" ref="M6:M13" si="2">K6*L6</f>
        <v>0</v>
      </c>
      <c r="N6" s="36">
        <v>0</v>
      </c>
      <c r="O6" s="36">
        <v>30000</v>
      </c>
      <c r="P6" s="59">
        <v>10000</v>
      </c>
      <c r="Q6" s="60">
        <v>532000</v>
      </c>
      <c r="R6" s="61">
        <v>140000</v>
      </c>
      <c r="S6" s="62">
        <f t="shared" si="0"/>
        <v>-392000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pans="1:41" s="5" customFormat="1" ht="52.5" customHeight="1">
      <c r="A7" s="4"/>
      <c r="B7" s="28" t="s">
        <v>32</v>
      </c>
      <c r="C7" s="28" t="s">
        <v>33</v>
      </c>
      <c r="D7" s="6" t="s">
        <v>27</v>
      </c>
      <c r="E7" s="33"/>
      <c r="F7" s="33">
        <v>46205</v>
      </c>
      <c r="G7" s="56" t="s">
        <v>31</v>
      </c>
      <c r="H7" s="57">
        <v>5</v>
      </c>
      <c r="I7" s="35">
        <v>25000</v>
      </c>
      <c r="J7" s="58">
        <f t="shared" si="1"/>
        <v>125000</v>
      </c>
      <c r="K7" s="34">
        <v>0</v>
      </c>
      <c r="L7" s="35">
        <v>0</v>
      </c>
      <c r="M7" s="58">
        <f t="shared" si="2"/>
        <v>0</v>
      </c>
      <c r="N7" s="36">
        <v>0</v>
      </c>
      <c r="O7" s="36">
        <v>15000</v>
      </c>
      <c r="P7" s="59">
        <v>5000</v>
      </c>
      <c r="Q7" s="60">
        <v>214000</v>
      </c>
      <c r="R7" s="61">
        <v>145000</v>
      </c>
      <c r="S7" s="62">
        <f t="shared" si="0"/>
        <v>-69000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pans="1:41" s="5" customFormat="1" ht="48" customHeight="1">
      <c r="A8" s="4"/>
      <c r="B8" s="28" t="s">
        <v>34</v>
      </c>
      <c r="C8" s="28" t="s">
        <v>35</v>
      </c>
      <c r="D8" s="6" t="s">
        <v>27</v>
      </c>
      <c r="E8" s="33"/>
      <c r="F8" s="33">
        <v>46205</v>
      </c>
      <c r="G8" s="56" t="s">
        <v>31</v>
      </c>
      <c r="H8" s="57">
        <v>3</v>
      </c>
      <c r="I8" s="35">
        <v>25000</v>
      </c>
      <c r="J8" s="58">
        <f t="shared" si="1"/>
        <v>75000</v>
      </c>
      <c r="K8" s="34">
        <v>0</v>
      </c>
      <c r="L8" s="35">
        <v>0</v>
      </c>
      <c r="M8" s="58">
        <f t="shared" si="2"/>
        <v>0</v>
      </c>
      <c r="N8" s="36">
        <v>0</v>
      </c>
      <c r="O8" s="36">
        <v>20000</v>
      </c>
      <c r="P8" s="59">
        <v>5000</v>
      </c>
      <c r="Q8" s="60">
        <v>320000</v>
      </c>
      <c r="R8" s="61">
        <v>100000</v>
      </c>
      <c r="S8" s="62">
        <f t="shared" si="0"/>
        <v>-220000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1:41" s="5" customFormat="1" ht="60.75" customHeight="1">
      <c r="A9" s="4"/>
      <c r="B9" s="28" t="s">
        <v>36</v>
      </c>
      <c r="C9" s="28" t="s">
        <v>37</v>
      </c>
      <c r="D9" s="6" t="s">
        <v>27</v>
      </c>
      <c r="E9" s="33"/>
      <c r="F9" s="33">
        <v>46205</v>
      </c>
      <c r="G9" s="56" t="s">
        <v>31</v>
      </c>
      <c r="H9" s="57">
        <v>4</v>
      </c>
      <c r="I9" s="35">
        <v>25000</v>
      </c>
      <c r="J9" s="58">
        <f t="shared" si="1"/>
        <v>100000</v>
      </c>
      <c r="K9" s="34">
        <v>0</v>
      </c>
      <c r="L9" s="35">
        <v>0</v>
      </c>
      <c r="M9" s="58">
        <f t="shared" si="2"/>
        <v>0</v>
      </c>
      <c r="N9" s="36">
        <v>0</v>
      </c>
      <c r="O9" s="36">
        <v>10000</v>
      </c>
      <c r="P9" s="59">
        <v>5000</v>
      </c>
      <c r="Q9" s="60">
        <v>160000</v>
      </c>
      <c r="R9" s="61">
        <v>115000</v>
      </c>
      <c r="S9" s="62">
        <f t="shared" si="0"/>
        <v>-45000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1:41" s="5" customFormat="1" ht="57" customHeight="1">
      <c r="A10" s="4"/>
      <c r="B10" s="28" t="s">
        <v>38</v>
      </c>
      <c r="C10" s="28" t="s">
        <v>39</v>
      </c>
      <c r="D10" s="6" t="s">
        <v>27</v>
      </c>
      <c r="E10" s="33"/>
      <c r="F10" s="33" t="s">
        <v>40</v>
      </c>
      <c r="G10" s="56" t="s">
        <v>31</v>
      </c>
      <c r="H10" s="57">
        <v>3</v>
      </c>
      <c r="I10" s="35">
        <v>25000</v>
      </c>
      <c r="J10" s="58">
        <f t="shared" si="1"/>
        <v>75000</v>
      </c>
      <c r="K10" s="34">
        <v>0</v>
      </c>
      <c r="L10" s="35">
        <v>0</v>
      </c>
      <c r="M10" s="58">
        <f t="shared" si="2"/>
        <v>0</v>
      </c>
      <c r="N10" s="36">
        <v>0</v>
      </c>
      <c r="O10" s="36">
        <v>10000</v>
      </c>
      <c r="P10" s="59">
        <v>5000</v>
      </c>
      <c r="Q10" s="60">
        <v>212000</v>
      </c>
      <c r="R10" s="61">
        <v>90000</v>
      </c>
      <c r="S10" s="62">
        <f t="shared" si="0"/>
        <v>-122000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pans="1:41" s="5" customFormat="1" ht="65.25" customHeight="1">
      <c r="A11" s="4"/>
      <c r="B11" s="28" t="s">
        <v>41</v>
      </c>
      <c r="C11" s="28" t="s">
        <v>42</v>
      </c>
      <c r="D11" s="6" t="s">
        <v>27</v>
      </c>
      <c r="E11" s="33"/>
      <c r="F11" s="33" t="s">
        <v>40</v>
      </c>
      <c r="G11" s="56" t="s">
        <v>31</v>
      </c>
      <c r="H11" s="57">
        <v>3</v>
      </c>
      <c r="I11" s="35">
        <v>25000</v>
      </c>
      <c r="J11" s="58">
        <f t="shared" si="1"/>
        <v>75000</v>
      </c>
      <c r="K11" s="34">
        <v>0</v>
      </c>
      <c r="L11" s="35">
        <v>0</v>
      </c>
      <c r="M11" s="58">
        <f t="shared" si="2"/>
        <v>0</v>
      </c>
      <c r="N11" s="36">
        <v>0</v>
      </c>
      <c r="O11" s="36">
        <v>10000</v>
      </c>
      <c r="P11" s="59">
        <v>5000</v>
      </c>
      <c r="Q11" s="60">
        <v>134000</v>
      </c>
      <c r="R11" s="61">
        <v>90000</v>
      </c>
      <c r="S11" s="62">
        <f t="shared" si="0"/>
        <v>-44000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spans="1:41" s="5" customFormat="1" ht="66" customHeight="1">
      <c r="A12" s="4"/>
      <c r="B12" s="28" t="s">
        <v>43</v>
      </c>
      <c r="C12" s="28" t="s">
        <v>44</v>
      </c>
      <c r="D12" s="6" t="s">
        <v>27</v>
      </c>
      <c r="E12" s="33"/>
      <c r="F12" s="33" t="s">
        <v>40</v>
      </c>
      <c r="G12" s="56" t="s">
        <v>31</v>
      </c>
      <c r="H12" s="57">
        <v>6</v>
      </c>
      <c r="I12" s="35">
        <v>25000</v>
      </c>
      <c r="J12" s="58">
        <f t="shared" si="1"/>
        <v>150000</v>
      </c>
      <c r="K12" s="34">
        <v>0</v>
      </c>
      <c r="L12" s="35">
        <v>0</v>
      </c>
      <c r="M12" s="58">
        <f t="shared" si="2"/>
        <v>0</v>
      </c>
      <c r="N12" s="36">
        <v>0</v>
      </c>
      <c r="O12" s="36">
        <v>20000</v>
      </c>
      <c r="P12" s="59">
        <v>10000</v>
      </c>
      <c r="Q12" s="60">
        <v>246000</v>
      </c>
      <c r="R12" s="61">
        <v>180000</v>
      </c>
      <c r="S12" s="62">
        <f t="shared" si="0"/>
        <v>-66000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1:41" s="5" customFormat="1" ht="69" customHeight="1">
      <c r="A13" s="4"/>
      <c r="B13" s="28" t="s">
        <v>45</v>
      </c>
      <c r="C13" s="28" t="s">
        <v>46</v>
      </c>
      <c r="D13" s="6" t="s">
        <v>27</v>
      </c>
      <c r="E13" s="33"/>
      <c r="F13" s="33" t="s">
        <v>40</v>
      </c>
      <c r="G13" s="56" t="s">
        <v>31</v>
      </c>
      <c r="H13" s="57">
        <v>3</v>
      </c>
      <c r="I13" s="35">
        <v>25000</v>
      </c>
      <c r="J13" s="58">
        <f t="shared" si="1"/>
        <v>75000</v>
      </c>
      <c r="K13" s="34">
        <v>0</v>
      </c>
      <c r="L13" s="35">
        <v>0</v>
      </c>
      <c r="M13" s="58">
        <f t="shared" si="2"/>
        <v>0</v>
      </c>
      <c r="N13" s="36">
        <v>0</v>
      </c>
      <c r="O13" s="36">
        <v>15000</v>
      </c>
      <c r="P13" s="59">
        <v>5000</v>
      </c>
      <c r="Q13" s="60">
        <v>165000</v>
      </c>
      <c r="R13" s="61">
        <v>95000</v>
      </c>
      <c r="S13" s="62">
        <f t="shared" si="0"/>
        <v>-70000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pans="1:41" s="5" customFormat="1" ht="30" customHeight="1">
      <c r="A14" s="4"/>
      <c r="B14" s="28" t="s">
        <v>47</v>
      </c>
      <c r="C14" s="28" t="s">
        <v>48</v>
      </c>
      <c r="D14" s="6" t="s">
        <v>27</v>
      </c>
      <c r="E14" s="33"/>
      <c r="F14" s="33" t="s">
        <v>40</v>
      </c>
      <c r="G14" s="56" t="s">
        <v>31</v>
      </c>
      <c r="H14" s="57">
        <v>4</v>
      </c>
      <c r="I14" s="35">
        <v>25000</v>
      </c>
      <c r="J14" s="58">
        <f t="shared" ref="J14:J58" si="3">H14*I14</f>
        <v>100000</v>
      </c>
      <c r="K14" s="34">
        <v>0</v>
      </c>
      <c r="L14" s="35">
        <v>0</v>
      </c>
      <c r="M14" s="58">
        <f t="shared" ref="M14:M58" si="4">K14*L14</f>
        <v>0</v>
      </c>
      <c r="N14" s="36">
        <v>0</v>
      </c>
      <c r="O14" s="36">
        <v>15000</v>
      </c>
      <c r="P14" s="59">
        <v>5000</v>
      </c>
      <c r="Q14" s="60">
        <v>166000</v>
      </c>
      <c r="R14" s="61">
        <v>120000</v>
      </c>
      <c r="S14" s="62">
        <f t="shared" ref="S14:S58" si="5">R14-Q14</f>
        <v>-46000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spans="1:41" s="5" customFormat="1" ht="21.75" customHeight="1">
      <c r="A15" s="4"/>
      <c r="B15" s="28" t="s">
        <v>49</v>
      </c>
      <c r="C15" s="28" t="s">
        <v>50</v>
      </c>
      <c r="D15" s="6" t="s">
        <v>27</v>
      </c>
      <c r="E15" s="33"/>
      <c r="F15" s="33" t="s">
        <v>51</v>
      </c>
      <c r="G15" s="56" t="s">
        <v>31</v>
      </c>
      <c r="H15" s="57">
        <v>6</v>
      </c>
      <c r="I15" s="35">
        <v>25000</v>
      </c>
      <c r="J15" s="58">
        <f t="shared" si="3"/>
        <v>150000</v>
      </c>
      <c r="K15" s="34">
        <v>0</v>
      </c>
      <c r="L15" s="35">
        <v>0</v>
      </c>
      <c r="M15" s="58">
        <f t="shared" si="4"/>
        <v>0</v>
      </c>
      <c r="N15" s="36">
        <v>0</v>
      </c>
      <c r="O15" s="36">
        <v>15000</v>
      </c>
      <c r="P15" s="59">
        <v>5000</v>
      </c>
      <c r="Q15" s="60">
        <v>167000</v>
      </c>
      <c r="R15" s="61">
        <v>170000</v>
      </c>
      <c r="S15" s="62">
        <f t="shared" si="5"/>
        <v>3000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1:41" s="1" customFormat="1" ht="21" customHeight="1">
      <c r="B16" s="28" t="s">
        <v>52</v>
      </c>
      <c r="C16" s="28" t="s">
        <v>53</v>
      </c>
      <c r="D16" s="6" t="s">
        <v>27</v>
      </c>
      <c r="E16" s="33"/>
      <c r="F16" s="33" t="s">
        <v>51</v>
      </c>
      <c r="G16" s="56" t="s">
        <v>31</v>
      </c>
      <c r="H16" s="57">
        <v>8</v>
      </c>
      <c r="I16" s="35">
        <v>25000</v>
      </c>
      <c r="J16" s="58">
        <f t="shared" si="3"/>
        <v>200000</v>
      </c>
      <c r="K16" s="34">
        <v>0</v>
      </c>
      <c r="L16" s="35">
        <v>0</v>
      </c>
      <c r="M16" s="58">
        <f t="shared" si="4"/>
        <v>0</v>
      </c>
      <c r="N16" s="36">
        <v>0</v>
      </c>
      <c r="O16" s="36">
        <v>15000</v>
      </c>
      <c r="P16" s="59">
        <v>5000</v>
      </c>
      <c r="Q16" s="60">
        <v>168000</v>
      </c>
      <c r="R16" s="61">
        <v>220000</v>
      </c>
      <c r="S16" s="62">
        <f t="shared" si="5"/>
        <v>52000</v>
      </c>
    </row>
    <row r="17" spans="1:41" ht="24.75">
      <c r="A17" s="1"/>
      <c r="B17" s="28" t="s">
        <v>54</v>
      </c>
      <c r="C17" s="28" t="s">
        <v>55</v>
      </c>
      <c r="D17" s="6" t="s">
        <v>27</v>
      </c>
      <c r="E17" s="33"/>
      <c r="F17" s="33" t="s">
        <v>51</v>
      </c>
      <c r="G17" s="56" t="s">
        <v>31</v>
      </c>
      <c r="H17" s="57">
        <v>6</v>
      </c>
      <c r="I17" s="35">
        <v>25000</v>
      </c>
      <c r="J17" s="58">
        <f t="shared" si="3"/>
        <v>150000</v>
      </c>
      <c r="K17" s="34">
        <v>0</v>
      </c>
      <c r="L17" s="35">
        <v>0</v>
      </c>
      <c r="M17" s="58">
        <f t="shared" si="4"/>
        <v>0</v>
      </c>
      <c r="N17" s="36">
        <v>0</v>
      </c>
      <c r="O17" s="36">
        <v>15000</v>
      </c>
      <c r="P17" s="59">
        <v>5000</v>
      </c>
      <c r="Q17" s="60">
        <v>169000</v>
      </c>
      <c r="R17" s="61">
        <v>170000</v>
      </c>
      <c r="S17" s="62">
        <f t="shared" si="5"/>
        <v>1000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ht="24.75">
      <c r="A18" s="1"/>
      <c r="B18" s="28" t="s">
        <v>56</v>
      </c>
      <c r="C18" s="28" t="s">
        <v>57</v>
      </c>
      <c r="D18" s="6" t="s">
        <v>27</v>
      </c>
      <c r="E18" s="33"/>
      <c r="F18" s="33" t="s">
        <v>51</v>
      </c>
      <c r="G18" s="56" t="s">
        <v>31</v>
      </c>
      <c r="H18" s="57">
        <v>5</v>
      </c>
      <c r="I18" s="35">
        <v>25000</v>
      </c>
      <c r="J18" s="58">
        <f t="shared" si="3"/>
        <v>125000</v>
      </c>
      <c r="K18" s="34">
        <v>0</v>
      </c>
      <c r="L18" s="35">
        <v>0</v>
      </c>
      <c r="M18" s="58">
        <f t="shared" si="4"/>
        <v>0</v>
      </c>
      <c r="N18" s="36">
        <v>0</v>
      </c>
      <c r="O18" s="36">
        <v>15000</v>
      </c>
      <c r="P18" s="59">
        <v>5000</v>
      </c>
      <c r="Q18" s="60">
        <v>170000</v>
      </c>
      <c r="R18" s="61">
        <v>145000</v>
      </c>
      <c r="S18" s="62">
        <f t="shared" si="5"/>
        <v>-25000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ht="24.75">
      <c r="A19" s="1"/>
      <c r="B19" s="28" t="s">
        <v>58</v>
      </c>
      <c r="C19" s="28" t="s">
        <v>59</v>
      </c>
      <c r="D19" s="6" t="s">
        <v>27</v>
      </c>
      <c r="E19" s="33"/>
      <c r="F19" s="33" t="s">
        <v>51</v>
      </c>
      <c r="G19" s="56" t="s">
        <v>31</v>
      </c>
      <c r="H19" s="57">
        <v>4</v>
      </c>
      <c r="I19" s="35">
        <v>25000</v>
      </c>
      <c r="J19" s="58">
        <f t="shared" si="3"/>
        <v>100000</v>
      </c>
      <c r="K19" s="34">
        <v>0</v>
      </c>
      <c r="L19" s="35">
        <v>0</v>
      </c>
      <c r="M19" s="58">
        <f t="shared" si="4"/>
        <v>0</v>
      </c>
      <c r="N19" s="36">
        <v>0</v>
      </c>
      <c r="O19" s="36">
        <v>15000</v>
      </c>
      <c r="P19" s="59">
        <v>5000</v>
      </c>
      <c r="Q19" s="60">
        <v>171000</v>
      </c>
      <c r="R19" s="61">
        <v>120000</v>
      </c>
      <c r="S19" s="62">
        <f t="shared" si="5"/>
        <v>-51000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24.75">
      <c r="A20" s="1"/>
      <c r="B20" s="28" t="s">
        <v>60</v>
      </c>
      <c r="C20" s="28" t="s">
        <v>61</v>
      </c>
      <c r="D20" s="6" t="s">
        <v>27</v>
      </c>
      <c r="E20" s="33"/>
      <c r="F20" s="33" t="s">
        <v>62</v>
      </c>
      <c r="G20" s="56" t="s">
        <v>31</v>
      </c>
      <c r="H20" s="57">
        <v>4</v>
      </c>
      <c r="I20" s="35">
        <v>25000</v>
      </c>
      <c r="J20" s="58">
        <f t="shared" si="3"/>
        <v>100000</v>
      </c>
      <c r="K20" s="34">
        <v>0</v>
      </c>
      <c r="L20" s="35">
        <v>0</v>
      </c>
      <c r="M20" s="58">
        <f t="shared" si="4"/>
        <v>0</v>
      </c>
      <c r="N20" s="36">
        <v>0</v>
      </c>
      <c r="O20" s="36">
        <v>15000</v>
      </c>
      <c r="P20" s="59">
        <v>5000</v>
      </c>
      <c r="Q20" s="60">
        <v>172000</v>
      </c>
      <c r="R20" s="61">
        <v>120000</v>
      </c>
      <c r="S20" s="62">
        <f t="shared" si="5"/>
        <v>-52000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24.75">
      <c r="A21" s="1"/>
      <c r="B21" s="28" t="s">
        <v>63</v>
      </c>
      <c r="C21" s="28" t="s">
        <v>64</v>
      </c>
      <c r="D21" s="6" t="s">
        <v>27</v>
      </c>
      <c r="E21" s="33"/>
      <c r="F21" s="33" t="s">
        <v>62</v>
      </c>
      <c r="G21" s="56" t="s">
        <v>31</v>
      </c>
      <c r="H21" s="57">
        <v>5</v>
      </c>
      <c r="I21" s="35">
        <v>35000</v>
      </c>
      <c r="J21" s="58">
        <f t="shared" si="3"/>
        <v>175000</v>
      </c>
      <c r="K21" s="34">
        <v>0</v>
      </c>
      <c r="L21" s="35">
        <v>0</v>
      </c>
      <c r="M21" s="58">
        <f t="shared" si="4"/>
        <v>0</v>
      </c>
      <c r="N21" s="36">
        <v>0</v>
      </c>
      <c r="O21" s="36">
        <v>15000</v>
      </c>
      <c r="P21" s="59">
        <v>5000</v>
      </c>
      <c r="Q21" s="60">
        <v>173000</v>
      </c>
      <c r="R21" s="61">
        <v>195000</v>
      </c>
      <c r="S21" s="62">
        <f t="shared" si="5"/>
        <v>22000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24.75">
      <c r="A22" s="1"/>
      <c r="B22" s="28" t="s">
        <v>65</v>
      </c>
      <c r="C22" s="28" t="s">
        <v>66</v>
      </c>
      <c r="D22" s="6" t="s">
        <v>27</v>
      </c>
      <c r="E22" s="33"/>
      <c r="F22" s="33" t="s">
        <v>62</v>
      </c>
      <c r="G22" s="56" t="s">
        <v>31</v>
      </c>
      <c r="H22" s="57">
        <v>4</v>
      </c>
      <c r="I22" s="35">
        <v>35000</v>
      </c>
      <c r="J22" s="58">
        <f t="shared" si="3"/>
        <v>140000</v>
      </c>
      <c r="K22" s="34">
        <v>0</v>
      </c>
      <c r="L22" s="35">
        <v>0</v>
      </c>
      <c r="M22" s="58">
        <f t="shared" si="4"/>
        <v>0</v>
      </c>
      <c r="N22" s="36">
        <v>0</v>
      </c>
      <c r="O22" s="36">
        <v>15000</v>
      </c>
      <c r="P22" s="59">
        <v>5000</v>
      </c>
      <c r="Q22" s="60">
        <v>174000</v>
      </c>
      <c r="R22" s="61">
        <v>160000</v>
      </c>
      <c r="S22" s="62">
        <f t="shared" si="5"/>
        <v>-14000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ht="24.75">
      <c r="A23" s="1"/>
      <c r="B23" s="28" t="s">
        <v>67</v>
      </c>
      <c r="C23" s="28" t="s">
        <v>68</v>
      </c>
      <c r="D23" s="6" t="s">
        <v>27</v>
      </c>
      <c r="E23" s="33"/>
      <c r="F23" s="33" t="s">
        <v>62</v>
      </c>
      <c r="G23" s="56" t="s">
        <v>31</v>
      </c>
      <c r="H23" s="57">
        <v>3</v>
      </c>
      <c r="I23" s="35">
        <v>35000</v>
      </c>
      <c r="J23" s="58">
        <f t="shared" si="3"/>
        <v>105000</v>
      </c>
      <c r="K23" s="34">
        <v>0</v>
      </c>
      <c r="L23" s="35">
        <v>0</v>
      </c>
      <c r="M23" s="58">
        <f t="shared" si="4"/>
        <v>0</v>
      </c>
      <c r="N23" s="36">
        <v>0</v>
      </c>
      <c r="O23" s="36">
        <v>15000</v>
      </c>
      <c r="P23" s="59">
        <v>5000</v>
      </c>
      <c r="Q23" s="60">
        <v>175000</v>
      </c>
      <c r="R23" s="61">
        <v>125000</v>
      </c>
      <c r="S23" s="62">
        <f t="shared" si="5"/>
        <v>-50000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24.75">
      <c r="A24" s="1"/>
      <c r="B24" s="28" t="s">
        <v>69</v>
      </c>
      <c r="C24" s="28" t="s">
        <v>70</v>
      </c>
      <c r="D24" s="6" t="s">
        <v>27</v>
      </c>
      <c r="E24" s="33"/>
      <c r="F24" s="33" t="s">
        <v>31</v>
      </c>
      <c r="G24" s="56" t="s">
        <v>31</v>
      </c>
      <c r="H24" s="57">
        <v>4</v>
      </c>
      <c r="I24" s="35">
        <v>30000</v>
      </c>
      <c r="J24" s="58">
        <f t="shared" si="3"/>
        <v>120000</v>
      </c>
      <c r="K24" s="34">
        <v>0</v>
      </c>
      <c r="L24" s="35">
        <v>0</v>
      </c>
      <c r="M24" s="58">
        <f t="shared" si="4"/>
        <v>0</v>
      </c>
      <c r="N24" s="36">
        <v>0</v>
      </c>
      <c r="O24" s="36">
        <v>15000</v>
      </c>
      <c r="P24" s="59">
        <v>5000</v>
      </c>
      <c r="Q24" s="60">
        <v>176000</v>
      </c>
      <c r="R24" s="61">
        <v>140000</v>
      </c>
      <c r="S24" s="62">
        <f t="shared" si="5"/>
        <v>-36000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24.75">
      <c r="A25" s="1"/>
      <c r="B25" s="28" t="s">
        <v>71</v>
      </c>
      <c r="C25" s="28" t="s">
        <v>72</v>
      </c>
      <c r="D25" s="6" t="s">
        <v>73</v>
      </c>
      <c r="E25" s="33"/>
      <c r="F25" s="33" t="s">
        <v>74</v>
      </c>
      <c r="G25" s="56">
        <v>46116</v>
      </c>
      <c r="H25" s="57">
        <v>4</v>
      </c>
      <c r="I25" s="35">
        <v>35000</v>
      </c>
      <c r="J25" s="58">
        <f t="shared" si="3"/>
        <v>140000</v>
      </c>
      <c r="K25" s="34">
        <v>0</v>
      </c>
      <c r="L25" s="35">
        <v>0</v>
      </c>
      <c r="M25" s="58">
        <f t="shared" si="4"/>
        <v>0</v>
      </c>
      <c r="N25" s="36">
        <v>0</v>
      </c>
      <c r="O25" s="36">
        <v>15000</v>
      </c>
      <c r="P25" s="59">
        <v>5000</v>
      </c>
      <c r="Q25" s="60">
        <v>177000</v>
      </c>
      <c r="R25" s="61">
        <v>160000</v>
      </c>
      <c r="S25" s="62">
        <f t="shared" si="5"/>
        <v>-17000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ht="36.75">
      <c r="A26" s="1"/>
      <c r="B26" s="28" t="s">
        <v>75</v>
      </c>
      <c r="C26" s="28" t="s">
        <v>76</v>
      </c>
      <c r="D26" s="6" t="s">
        <v>73</v>
      </c>
      <c r="E26" s="33"/>
      <c r="F26" s="33" t="s">
        <v>74</v>
      </c>
      <c r="G26" s="56">
        <v>46116</v>
      </c>
      <c r="H26" s="57">
        <v>3</v>
      </c>
      <c r="I26" s="35">
        <v>30000</v>
      </c>
      <c r="J26" s="58">
        <f t="shared" si="3"/>
        <v>90000</v>
      </c>
      <c r="K26" s="34">
        <v>0</v>
      </c>
      <c r="L26" s="35">
        <v>0</v>
      </c>
      <c r="M26" s="58">
        <f t="shared" si="4"/>
        <v>0</v>
      </c>
      <c r="N26" s="36">
        <v>0</v>
      </c>
      <c r="O26" s="36">
        <v>15000</v>
      </c>
      <c r="P26" s="59">
        <v>5000</v>
      </c>
      <c r="Q26" s="60">
        <v>178000</v>
      </c>
      <c r="R26" s="61">
        <v>110000</v>
      </c>
      <c r="S26" s="62">
        <f t="shared" si="5"/>
        <v>-68000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ht="24.75">
      <c r="A27" s="1"/>
      <c r="B27" s="28" t="s">
        <v>77</v>
      </c>
      <c r="C27" s="28" t="s">
        <v>78</v>
      </c>
      <c r="D27" s="6" t="s">
        <v>73</v>
      </c>
      <c r="E27" s="33"/>
      <c r="F27" s="33" t="s">
        <v>74</v>
      </c>
      <c r="G27" s="56">
        <v>46116</v>
      </c>
      <c r="H27" s="57">
        <v>3</v>
      </c>
      <c r="I27" s="35">
        <v>35000</v>
      </c>
      <c r="J27" s="58">
        <f t="shared" si="3"/>
        <v>105000</v>
      </c>
      <c r="K27" s="34">
        <v>0</v>
      </c>
      <c r="L27" s="35">
        <v>0</v>
      </c>
      <c r="M27" s="58">
        <f t="shared" si="4"/>
        <v>0</v>
      </c>
      <c r="N27" s="36">
        <v>0</v>
      </c>
      <c r="O27" s="36">
        <v>15000</v>
      </c>
      <c r="P27" s="59">
        <v>5000</v>
      </c>
      <c r="Q27" s="60">
        <v>179000</v>
      </c>
      <c r="R27" s="61">
        <v>125000</v>
      </c>
      <c r="S27" s="62">
        <f t="shared" si="5"/>
        <v>-54000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ht="24.75">
      <c r="A28" s="1"/>
      <c r="B28" s="28" t="s">
        <v>79</v>
      </c>
      <c r="C28" s="28" t="s">
        <v>80</v>
      </c>
      <c r="D28" s="6" t="s">
        <v>73</v>
      </c>
      <c r="E28" s="33"/>
      <c r="F28" s="33" t="s">
        <v>74</v>
      </c>
      <c r="G28" s="56">
        <v>46116</v>
      </c>
      <c r="H28" s="57">
        <v>5</v>
      </c>
      <c r="I28" s="35">
        <v>35000</v>
      </c>
      <c r="J28" s="58">
        <f t="shared" si="3"/>
        <v>175000</v>
      </c>
      <c r="K28" s="34">
        <v>0</v>
      </c>
      <c r="L28" s="35">
        <v>0</v>
      </c>
      <c r="M28" s="58">
        <f t="shared" si="4"/>
        <v>0</v>
      </c>
      <c r="N28" s="36">
        <v>0</v>
      </c>
      <c r="O28" s="36">
        <v>15000</v>
      </c>
      <c r="P28" s="59">
        <v>5000</v>
      </c>
      <c r="Q28" s="60">
        <v>180000</v>
      </c>
      <c r="R28" s="61">
        <v>195000</v>
      </c>
      <c r="S28" s="62">
        <f t="shared" si="5"/>
        <v>15000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ht="24.75">
      <c r="A29" s="1"/>
      <c r="B29" s="28" t="s">
        <v>81</v>
      </c>
      <c r="C29" s="28" t="s">
        <v>82</v>
      </c>
      <c r="D29" s="6" t="s">
        <v>73</v>
      </c>
      <c r="E29" s="33"/>
      <c r="F29" s="33" t="s">
        <v>74</v>
      </c>
      <c r="G29" s="56">
        <v>46116</v>
      </c>
      <c r="H29" s="57">
        <v>6</v>
      </c>
      <c r="I29" s="35">
        <v>35000</v>
      </c>
      <c r="J29" s="58">
        <f t="shared" si="3"/>
        <v>210000</v>
      </c>
      <c r="K29" s="34">
        <v>0</v>
      </c>
      <c r="L29" s="35">
        <v>0</v>
      </c>
      <c r="M29" s="58">
        <f t="shared" si="4"/>
        <v>0</v>
      </c>
      <c r="N29" s="36">
        <v>0</v>
      </c>
      <c r="O29" s="36">
        <v>15000</v>
      </c>
      <c r="P29" s="59">
        <v>5000</v>
      </c>
      <c r="Q29" s="60">
        <v>181000</v>
      </c>
      <c r="R29" s="61">
        <v>230000</v>
      </c>
      <c r="S29" s="62">
        <f t="shared" si="5"/>
        <v>49000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ht="24.75">
      <c r="A30" s="1"/>
      <c r="B30" s="28" t="s">
        <v>83</v>
      </c>
      <c r="C30" s="28" t="s">
        <v>84</v>
      </c>
      <c r="D30" s="6" t="s">
        <v>73</v>
      </c>
      <c r="E30" s="33"/>
      <c r="F30" s="33">
        <v>46116</v>
      </c>
      <c r="G30" s="56" t="s">
        <v>85</v>
      </c>
      <c r="H30" s="57">
        <v>5</v>
      </c>
      <c r="I30" s="35">
        <v>35000</v>
      </c>
      <c r="J30" s="58">
        <f t="shared" si="3"/>
        <v>175000</v>
      </c>
      <c r="K30" s="34">
        <v>0</v>
      </c>
      <c r="L30" s="35">
        <v>0</v>
      </c>
      <c r="M30" s="58">
        <f t="shared" si="4"/>
        <v>0</v>
      </c>
      <c r="N30" s="36">
        <v>0</v>
      </c>
      <c r="O30" s="36">
        <v>15000</v>
      </c>
      <c r="P30" s="59">
        <v>5000</v>
      </c>
      <c r="Q30" s="60">
        <v>182000</v>
      </c>
      <c r="R30" s="61">
        <v>195000</v>
      </c>
      <c r="S30" s="62">
        <f t="shared" si="5"/>
        <v>13000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t="24.75">
      <c r="A31" s="1"/>
      <c r="B31" s="28" t="s">
        <v>86</v>
      </c>
      <c r="C31" s="28" t="s">
        <v>87</v>
      </c>
      <c r="D31" s="6" t="s">
        <v>73</v>
      </c>
      <c r="E31" s="33"/>
      <c r="F31" s="33">
        <v>46116</v>
      </c>
      <c r="G31" s="56" t="s">
        <v>85</v>
      </c>
      <c r="H31" s="57">
        <v>6</v>
      </c>
      <c r="I31" s="35">
        <v>35000</v>
      </c>
      <c r="J31" s="58">
        <f t="shared" si="3"/>
        <v>210000</v>
      </c>
      <c r="K31" s="34">
        <v>0</v>
      </c>
      <c r="L31" s="35">
        <v>0</v>
      </c>
      <c r="M31" s="58">
        <f t="shared" si="4"/>
        <v>0</v>
      </c>
      <c r="N31" s="36">
        <v>0</v>
      </c>
      <c r="O31" s="36">
        <v>15000</v>
      </c>
      <c r="P31" s="59">
        <v>5000</v>
      </c>
      <c r="Q31" s="60">
        <v>183000</v>
      </c>
      <c r="R31" s="61">
        <v>230000</v>
      </c>
      <c r="S31" s="62">
        <f t="shared" si="5"/>
        <v>47000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ht="24.75">
      <c r="A32" s="1"/>
      <c r="B32" s="28" t="s">
        <v>88</v>
      </c>
      <c r="C32" s="28" t="s">
        <v>89</v>
      </c>
      <c r="D32" s="6" t="s">
        <v>73</v>
      </c>
      <c r="E32" s="33"/>
      <c r="F32" s="33">
        <v>46116</v>
      </c>
      <c r="G32" s="56" t="s">
        <v>85</v>
      </c>
      <c r="H32" s="57">
        <v>6</v>
      </c>
      <c r="I32" s="35">
        <v>35000</v>
      </c>
      <c r="J32" s="58">
        <f t="shared" si="3"/>
        <v>210000</v>
      </c>
      <c r="K32" s="34">
        <v>0</v>
      </c>
      <c r="L32" s="35">
        <v>0</v>
      </c>
      <c r="M32" s="58">
        <f t="shared" si="4"/>
        <v>0</v>
      </c>
      <c r="N32" s="36">
        <v>0</v>
      </c>
      <c r="O32" s="36">
        <v>15000</v>
      </c>
      <c r="P32" s="59">
        <v>5000</v>
      </c>
      <c r="Q32" s="60">
        <v>184000</v>
      </c>
      <c r="R32" s="61">
        <v>230000</v>
      </c>
      <c r="S32" s="62">
        <f t="shared" si="5"/>
        <v>46000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ht="24.75">
      <c r="A33" s="1"/>
      <c r="B33" s="28" t="s">
        <v>90</v>
      </c>
      <c r="C33" s="28" t="s">
        <v>91</v>
      </c>
      <c r="D33" s="6" t="s">
        <v>73</v>
      </c>
      <c r="E33" s="33"/>
      <c r="F33" s="33">
        <v>46116</v>
      </c>
      <c r="G33" s="56" t="s">
        <v>85</v>
      </c>
      <c r="H33" s="57">
        <v>5</v>
      </c>
      <c r="I33" s="35">
        <v>35000</v>
      </c>
      <c r="J33" s="58">
        <f t="shared" si="3"/>
        <v>175000</v>
      </c>
      <c r="K33" s="34">
        <v>0</v>
      </c>
      <c r="L33" s="35">
        <v>0</v>
      </c>
      <c r="M33" s="58">
        <f t="shared" si="4"/>
        <v>0</v>
      </c>
      <c r="N33" s="36">
        <v>0</v>
      </c>
      <c r="O33" s="36">
        <v>15000</v>
      </c>
      <c r="P33" s="59">
        <v>5000</v>
      </c>
      <c r="Q33" s="60">
        <v>185000</v>
      </c>
      <c r="R33" s="61">
        <v>195000</v>
      </c>
      <c r="S33" s="62">
        <f t="shared" si="5"/>
        <v>10000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24.75">
      <c r="A34" s="1"/>
      <c r="B34" s="28" t="s">
        <v>92</v>
      </c>
      <c r="C34" s="28" t="s">
        <v>93</v>
      </c>
      <c r="D34" s="6" t="s">
        <v>73</v>
      </c>
      <c r="E34" s="33"/>
      <c r="F34" s="33">
        <v>46116</v>
      </c>
      <c r="G34" s="56" t="s">
        <v>85</v>
      </c>
      <c r="H34" s="57">
        <v>6</v>
      </c>
      <c r="I34" s="35">
        <v>35000</v>
      </c>
      <c r="J34" s="58">
        <f t="shared" si="3"/>
        <v>210000</v>
      </c>
      <c r="K34" s="34">
        <v>0</v>
      </c>
      <c r="L34" s="35">
        <v>0</v>
      </c>
      <c r="M34" s="58">
        <f t="shared" si="4"/>
        <v>0</v>
      </c>
      <c r="N34" s="36">
        <v>0</v>
      </c>
      <c r="O34" s="36">
        <v>15000</v>
      </c>
      <c r="P34" s="59">
        <v>5000</v>
      </c>
      <c r="Q34" s="60">
        <v>186000</v>
      </c>
      <c r="R34" s="61">
        <v>230000</v>
      </c>
      <c r="S34" s="62">
        <f t="shared" si="5"/>
        <v>44000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24.75">
      <c r="A35" s="1"/>
      <c r="B35" s="28" t="s">
        <v>94</v>
      </c>
      <c r="C35" s="28" t="s">
        <v>95</v>
      </c>
      <c r="D35" s="6" t="s">
        <v>73</v>
      </c>
      <c r="E35" s="33"/>
      <c r="F35" s="33">
        <v>46330</v>
      </c>
      <c r="G35" s="56" t="s">
        <v>85</v>
      </c>
      <c r="H35" s="57">
        <v>3</v>
      </c>
      <c r="I35" s="35">
        <v>35000</v>
      </c>
      <c r="J35" s="58">
        <f t="shared" si="3"/>
        <v>105000</v>
      </c>
      <c r="K35" s="34">
        <v>0</v>
      </c>
      <c r="L35" s="35">
        <v>0</v>
      </c>
      <c r="M35" s="58">
        <f t="shared" si="4"/>
        <v>0</v>
      </c>
      <c r="N35" s="36">
        <v>0</v>
      </c>
      <c r="O35" s="36">
        <v>15000</v>
      </c>
      <c r="P35" s="59">
        <v>5000</v>
      </c>
      <c r="Q35" s="60">
        <v>187000</v>
      </c>
      <c r="R35" s="61">
        <v>125000</v>
      </c>
      <c r="S35" s="62">
        <f t="shared" si="5"/>
        <v>-62000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24.75">
      <c r="A36" s="1"/>
      <c r="B36" s="28" t="s">
        <v>96</v>
      </c>
      <c r="C36" s="28" t="s">
        <v>97</v>
      </c>
      <c r="D36" s="6" t="s">
        <v>73</v>
      </c>
      <c r="E36" s="33"/>
      <c r="F36" s="33">
        <v>46330</v>
      </c>
      <c r="G36" s="56" t="s">
        <v>85</v>
      </c>
      <c r="H36" s="57">
        <v>3</v>
      </c>
      <c r="I36" s="35">
        <v>35000</v>
      </c>
      <c r="J36" s="58">
        <f t="shared" si="3"/>
        <v>105000</v>
      </c>
      <c r="K36" s="34">
        <v>0</v>
      </c>
      <c r="L36" s="35">
        <v>0</v>
      </c>
      <c r="M36" s="58">
        <f t="shared" si="4"/>
        <v>0</v>
      </c>
      <c r="N36" s="36">
        <v>0</v>
      </c>
      <c r="O36" s="36">
        <v>15000</v>
      </c>
      <c r="P36" s="59">
        <v>5000</v>
      </c>
      <c r="Q36" s="60">
        <v>188000</v>
      </c>
      <c r="R36" s="61">
        <v>125000</v>
      </c>
      <c r="S36" s="62">
        <f t="shared" si="5"/>
        <v>-63000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ht="24.75">
      <c r="A37" s="1"/>
      <c r="B37" s="28" t="s">
        <v>98</v>
      </c>
      <c r="C37" s="28" t="s">
        <v>99</v>
      </c>
      <c r="D37" s="6" t="s">
        <v>73</v>
      </c>
      <c r="E37" s="33"/>
      <c r="F37" s="33">
        <v>46330</v>
      </c>
      <c r="G37" s="56" t="s">
        <v>85</v>
      </c>
      <c r="H37" s="57">
        <v>4</v>
      </c>
      <c r="I37" s="35">
        <v>35000</v>
      </c>
      <c r="J37" s="58">
        <f t="shared" si="3"/>
        <v>140000</v>
      </c>
      <c r="K37" s="34">
        <v>1</v>
      </c>
      <c r="L37" s="35">
        <v>0</v>
      </c>
      <c r="M37" s="58">
        <f t="shared" si="4"/>
        <v>0</v>
      </c>
      <c r="N37" s="36">
        <v>0</v>
      </c>
      <c r="O37" s="36">
        <v>15000</v>
      </c>
      <c r="P37" s="59">
        <v>5000</v>
      </c>
      <c r="Q37" s="60">
        <v>189000</v>
      </c>
      <c r="R37" s="61">
        <v>160000</v>
      </c>
      <c r="S37" s="62">
        <f t="shared" si="5"/>
        <v>-29000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ht="24.75">
      <c r="A38" s="1"/>
      <c r="B38" s="28" t="s">
        <v>100</v>
      </c>
      <c r="C38" s="28" t="s">
        <v>101</v>
      </c>
      <c r="D38" s="6" t="s">
        <v>73</v>
      </c>
      <c r="E38" s="33"/>
      <c r="F38" s="33">
        <v>46330</v>
      </c>
      <c r="G38" s="56" t="s">
        <v>85</v>
      </c>
      <c r="H38" s="57">
        <v>6</v>
      </c>
      <c r="I38" s="35">
        <v>35000</v>
      </c>
      <c r="J38" s="58">
        <f t="shared" si="3"/>
        <v>210000</v>
      </c>
      <c r="K38" s="34">
        <v>1</v>
      </c>
      <c r="L38" s="35">
        <v>0</v>
      </c>
      <c r="M38" s="58">
        <f t="shared" si="4"/>
        <v>0</v>
      </c>
      <c r="N38" s="36">
        <v>0</v>
      </c>
      <c r="O38" s="36">
        <v>15000</v>
      </c>
      <c r="P38" s="59">
        <v>5000</v>
      </c>
      <c r="Q38" s="60">
        <v>190000</v>
      </c>
      <c r="R38" s="61">
        <v>230000</v>
      </c>
      <c r="S38" s="62">
        <f t="shared" si="5"/>
        <v>40000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ht="24.75">
      <c r="A39" s="1"/>
      <c r="B39" s="28" t="s">
        <v>102</v>
      </c>
      <c r="C39" s="28" t="s">
        <v>103</v>
      </c>
      <c r="D39" s="6" t="s">
        <v>73</v>
      </c>
      <c r="E39" s="33"/>
      <c r="F39" s="33">
        <v>46330</v>
      </c>
      <c r="G39" s="56" t="s">
        <v>85</v>
      </c>
      <c r="H39" s="57">
        <v>5</v>
      </c>
      <c r="I39" s="35">
        <v>35000</v>
      </c>
      <c r="J39" s="58">
        <f t="shared" si="3"/>
        <v>175000</v>
      </c>
      <c r="K39" s="34">
        <v>1</v>
      </c>
      <c r="L39" s="35">
        <v>0</v>
      </c>
      <c r="M39" s="58">
        <f t="shared" si="4"/>
        <v>0</v>
      </c>
      <c r="N39" s="36">
        <v>0</v>
      </c>
      <c r="O39" s="36">
        <v>15000</v>
      </c>
      <c r="P39" s="59">
        <v>5000</v>
      </c>
      <c r="Q39" s="60">
        <v>191000</v>
      </c>
      <c r="R39" s="61">
        <v>195000</v>
      </c>
      <c r="S39" s="62">
        <f t="shared" si="5"/>
        <v>4000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24.75">
      <c r="A40" s="1"/>
      <c r="B40" s="28" t="s">
        <v>104</v>
      </c>
      <c r="C40" s="28" t="s">
        <v>105</v>
      </c>
      <c r="D40" s="6" t="s">
        <v>73</v>
      </c>
      <c r="E40" s="33"/>
      <c r="F40" s="33" t="s">
        <v>85</v>
      </c>
      <c r="G40" s="56">
        <v>46058</v>
      </c>
      <c r="H40" s="57">
        <v>5</v>
      </c>
      <c r="I40" s="35">
        <v>30000</v>
      </c>
      <c r="J40" s="58">
        <f t="shared" si="3"/>
        <v>150000</v>
      </c>
      <c r="K40" s="34">
        <v>1</v>
      </c>
      <c r="L40" s="35">
        <v>0</v>
      </c>
      <c r="M40" s="58">
        <f t="shared" si="4"/>
        <v>0</v>
      </c>
      <c r="N40" s="36">
        <v>0</v>
      </c>
      <c r="O40" s="36">
        <v>15000</v>
      </c>
      <c r="P40" s="59">
        <v>5000</v>
      </c>
      <c r="Q40" s="60">
        <v>192000</v>
      </c>
      <c r="R40" s="61">
        <v>170000</v>
      </c>
      <c r="S40" s="62">
        <f t="shared" si="5"/>
        <v>-22000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24.75">
      <c r="A41" s="1"/>
      <c r="B41" s="28" t="s">
        <v>106</v>
      </c>
      <c r="C41" s="28" t="s">
        <v>107</v>
      </c>
      <c r="D41" s="6" t="s">
        <v>73</v>
      </c>
      <c r="E41" s="33"/>
      <c r="F41" s="33" t="s">
        <v>85</v>
      </c>
      <c r="G41" s="56">
        <v>46058</v>
      </c>
      <c r="H41" s="57">
        <v>4</v>
      </c>
      <c r="I41" s="35">
        <v>35000</v>
      </c>
      <c r="J41" s="58">
        <f t="shared" si="3"/>
        <v>140000</v>
      </c>
      <c r="K41" s="34">
        <v>1</v>
      </c>
      <c r="L41" s="35">
        <v>0</v>
      </c>
      <c r="M41" s="58">
        <f t="shared" si="4"/>
        <v>0</v>
      </c>
      <c r="N41" s="36">
        <v>0</v>
      </c>
      <c r="O41" s="36">
        <v>15000</v>
      </c>
      <c r="P41" s="59">
        <v>5000</v>
      </c>
      <c r="Q41" s="60">
        <v>193000</v>
      </c>
      <c r="R41" s="61">
        <v>160000</v>
      </c>
      <c r="S41" s="62">
        <f t="shared" si="5"/>
        <v>-33000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>
      <c r="A42" s="1"/>
      <c r="B42" s="28" t="s">
        <v>108</v>
      </c>
      <c r="C42" s="28" t="s">
        <v>109</v>
      </c>
      <c r="D42" s="6" t="s">
        <v>73</v>
      </c>
      <c r="E42" s="33"/>
      <c r="F42" s="33" t="s">
        <v>85</v>
      </c>
      <c r="G42" s="56">
        <v>46058</v>
      </c>
      <c r="H42" s="57">
        <v>6</v>
      </c>
      <c r="I42" s="35">
        <v>35000</v>
      </c>
      <c r="J42" s="58">
        <f t="shared" si="3"/>
        <v>210000</v>
      </c>
      <c r="K42" s="34">
        <v>1</v>
      </c>
      <c r="L42" s="35">
        <v>0</v>
      </c>
      <c r="M42" s="58">
        <f t="shared" si="4"/>
        <v>0</v>
      </c>
      <c r="N42" s="36">
        <v>0</v>
      </c>
      <c r="O42" s="36">
        <v>15000</v>
      </c>
      <c r="P42" s="59">
        <v>5000</v>
      </c>
      <c r="Q42" s="60">
        <v>194000</v>
      </c>
      <c r="R42" s="61">
        <v>230000</v>
      </c>
      <c r="S42" s="62">
        <f t="shared" si="5"/>
        <v>36000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36.75">
      <c r="A43" s="1"/>
      <c r="B43" s="28" t="s">
        <v>110</v>
      </c>
      <c r="C43" s="28" t="s">
        <v>111</v>
      </c>
      <c r="D43" s="6" t="s">
        <v>73</v>
      </c>
      <c r="E43" s="33"/>
      <c r="F43" s="33" t="s">
        <v>85</v>
      </c>
      <c r="G43" s="56">
        <v>46058</v>
      </c>
      <c r="H43" s="57">
        <v>4</v>
      </c>
      <c r="I43" s="35">
        <v>25000</v>
      </c>
      <c r="J43" s="58">
        <f t="shared" si="3"/>
        <v>100000</v>
      </c>
      <c r="K43" s="34">
        <v>1</v>
      </c>
      <c r="L43" s="35">
        <v>0</v>
      </c>
      <c r="M43" s="58">
        <f t="shared" si="4"/>
        <v>0</v>
      </c>
      <c r="N43" s="36">
        <v>0</v>
      </c>
      <c r="O43" s="36">
        <v>15000</v>
      </c>
      <c r="P43" s="59">
        <v>5000</v>
      </c>
      <c r="Q43" s="60">
        <v>195000</v>
      </c>
      <c r="R43" s="61">
        <v>120000</v>
      </c>
      <c r="S43" s="62">
        <f t="shared" si="5"/>
        <v>-75000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24.75">
      <c r="A44" s="1"/>
      <c r="B44" s="28" t="s">
        <v>112</v>
      </c>
      <c r="C44" s="28" t="s">
        <v>113</v>
      </c>
      <c r="D44" s="6" t="s">
        <v>73</v>
      </c>
      <c r="E44" s="33"/>
      <c r="F44" s="33" t="s">
        <v>85</v>
      </c>
      <c r="G44" s="56">
        <v>46058</v>
      </c>
      <c r="H44" s="57">
        <v>4</v>
      </c>
      <c r="I44" s="35">
        <v>28000</v>
      </c>
      <c r="J44" s="58">
        <f t="shared" si="3"/>
        <v>112000</v>
      </c>
      <c r="K44" s="34">
        <v>1</v>
      </c>
      <c r="L44" s="35">
        <v>0</v>
      </c>
      <c r="M44" s="58">
        <f t="shared" si="4"/>
        <v>0</v>
      </c>
      <c r="N44" s="36">
        <v>0</v>
      </c>
      <c r="O44" s="36">
        <v>15000</v>
      </c>
      <c r="P44" s="59">
        <v>5000</v>
      </c>
      <c r="Q44" s="60">
        <v>196000</v>
      </c>
      <c r="R44" s="61">
        <v>132000</v>
      </c>
      <c r="S44" s="62">
        <f t="shared" si="5"/>
        <v>-64000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36.75">
      <c r="A45" s="1"/>
      <c r="B45" s="28" t="s">
        <v>114</v>
      </c>
      <c r="C45" s="28" t="s">
        <v>115</v>
      </c>
      <c r="D45" s="6" t="s">
        <v>73</v>
      </c>
      <c r="E45" s="33"/>
      <c r="F45" s="33" t="s">
        <v>116</v>
      </c>
      <c r="G45" s="56" t="s">
        <v>117</v>
      </c>
      <c r="H45" s="57">
        <v>4</v>
      </c>
      <c r="I45" s="35">
        <v>28000</v>
      </c>
      <c r="J45" s="58">
        <f t="shared" si="3"/>
        <v>112000</v>
      </c>
      <c r="K45" s="34">
        <v>1</v>
      </c>
      <c r="L45" s="35">
        <v>50000</v>
      </c>
      <c r="M45" s="58">
        <f t="shared" si="4"/>
        <v>50000</v>
      </c>
      <c r="N45" s="36">
        <v>0</v>
      </c>
      <c r="O45" s="36">
        <v>15000</v>
      </c>
      <c r="P45" s="59">
        <v>5000</v>
      </c>
      <c r="Q45" s="60">
        <v>197000</v>
      </c>
      <c r="R45" s="61">
        <v>182000</v>
      </c>
      <c r="S45" s="62">
        <f t="shared" si="5"/>
        <v>-15000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24.75">
      <c r="A46" s="1"/>
      <c r="B46" s="28" t="s">
        <v>118</v>
      </c>
      <c r="C46" s="28" t="s">
        <v>119</v>
      </c>
      <c r="D46" s="6" t="s">
        <v>73</v>
      </c>
      <c r="E46" s="33"/>
      <c r="F46" s="33" t="s">
        <v>116</v>
      </c>
      <c r="G46" s="56" t="s">
        <v>117</v>
      </c>
      <c r="H46" s="57">
        <v>3</v>
      </c>
      <c r="I46" s="35">
        <v>28000</v>
      </c>
      <c r="J46" s="58">
        <f t="shared" si="3"/>
        <v>84000</v>
      </c>
      <c r="K46" s="34">
        <v>1</v>
      </c>
      <c r="L46" s="35">
        <v>50000</v>
      </c>
      <c r="M46" s="58">
        <f t="shared" si="4"/>
        <v>50000</v>
      </c>
      <c r="N46" s="36">
        <v>0</v>
      </c>
      <c r="O46" s="36">
        <v>15000</v>
      </c>
      <c r="P46" s="59">
        <v>5000</v>
      </c>
      <c r="Q46" s="60">
        <v>198000</v>
      </c>
      <c r="R46" s="61">
        <v>154000</v>
      </c>
      <c r="S46" s="62">
        <f t="shared" si="5"/>
        <v>-44000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24.75">
      <c r="A47" s="1"/>
      <c r="B47" s="28" t="s">
        <v>120</v>
      </c>
      <c r="C47" s="28" t="s">
        <v>121</v>
      </c>
      <c r="D47" s="6" t="s">
        <v>73</v>
      </c>
      <c r="E47" s="33"/>
      <c r="F47" s="33" t="s">
        <v>116</v>
      </c>
      <c r="G47" s="56" t="s">
        <v>117</v>
      </c>
      <c r="H47" s="57">
        <v>4</v>
      </c>
      <c r="I47" s="35">
        <v>35000</v>
      </c>
      <c r="J47" s="58">
        <f t="shared" si="3"/>
        <v>140000</v>
      </c>
      <c r="K47" s="34">
        <v>1</v>
      </c>
      <c r="L47" s="35">
        <v>50000</v>
      </c>
      <c r="M47" s="58">
        <f t="shared" si="4"/>
        <v>50000</v>
      </c>
      <c r="N47" s="36">
        <v>0</v>
      </c>
      <c r="O47" s="36">
        <v>15000</v>
      </c>
      <c r="P47" s="59">
        <v>5000</v>
      </c>
      <c r="Q47" s="60">
        <v>199000</v>
      </c>
      <c r="R47" s="61">
        <v>210000</v>
      </c>
      <c r="S47" s="62">
        <f t="shared" si="5"/>
        <v>11000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24.75">
      <c r="A48" s="1"/>
      <c r="B48" s="28" t="s">
        <v>122</v>
      </c>
      <c r="C48" s="28" t="s">
        <v>123</v>
      </c>
      <c r="D48" s="6" t="s">
        <v>73</v>
      </c>
      <c r="E48" s="33"/>
      <c r="F48" s="33" t="s">
        <v>116</v>
      </c>
      <c r="G48" s="56" t="s">
        <v>117</v>
      </c>
      <c r="H48" s="57">
        <v>4</v>
      </c>
      <c r="I48" s="35">
        <v>28000</v>
      </c>
      <c r="J48" s="58">
        <f t="shared" si="3"/>
        <v>112000</v>
      </c>
      <c r="K48" s="34">
        <v>1</v>
      </c>
      <c r="L48" s="35">
        <v>50000</v>
      </c>
      <c r="M48" s="58">
        <f t="shared" si="4"/>
        <v>50000</v>
      </c>
      <c r="N48" s="36">
        <v>0</v>
      </c>
      <c r="O48" s="36">
        <v>15000</v>
      </c>
      <c r="P48" s="59">
        <v>5000</v>
      </c>
      <c r="Q48" s="60">
        <v>200000</v>
      </c>
      <c r="R48" s="61">
        <v>182000</v>
      </c>
      <c r="S48" s="62">
        <f t="shared" si="5"/>
        <v>-18000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24.75">
      <c r="A49" s="1"/>
      <c r="B49" s="28" t="s">
        <v>124</v>
      </c>
      <c r="C49" s="28" t="s">
        <v>125</v>
      </c>
      <c r="D49" s="6" t="s">
        <v>73</v>
      </c>
      <c r="E49" s="33"/>
      <c r="F49" s="33" t="s">
        <v>116</v>
      </c>
      <c r="G49" s="56" t="s">
        <v>117</v>
      </c>
      <c r="H49" s="57">
        <v>4</v>
      </c>
      <c r="I49" s="35">
        <v>35000</v>
      </c>
      <c r="J49" s="58">
        <f t="shared" si="3"/>
        <v>140000</v>
      </c>
      <c r="K49" s="34">
        <v>1</v>
      </c>
      <c r="L49" s="35">
        <v>50000</v>
      </c>
      <c r="M49" s="58">
        <f t="shared" si="4"/>
        <v>50000</v>
      </c>
      <c r="N49" s="36">
        <v>0</v>
      </c>
      <c r="O49" s="36">
        <v>15000</v>
      </c>
      <c r="P49" s="59">
        <v>5000</v>
      </c>
      <c r="Q49" s="60">
        <v>201000</v>
      </c>
      <c r="R49" s="61">
        <v>210000</v>
      </c>
      <c r="S49" s="62">
        <f t="shared" si="5"/>
        <v>9000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24.75">
      <c r="A50" s="1"/>
      <c r="B50" s="28" t="s">
        <v>126</v>
      </c>
      <c r="C50" s="28" t="s">
        <v>127</v>
      </c>
      <c r="D50" s="6" t="s">
        <v>73</v>
      </c>
      <c r="E50" s="33"/>
      <c r="F50" s="33">
        <v>46058</v>
      </c>
      <c r="G50" s="56" t="s">
        <v>128</v>
      </c>
      <c r="H50" s="57">
        <v>3</v>
      </c>
      <c r="I50" s="35">
        <v>35000</v>
      </c>
      <c r="J50" s="58">
        <f t="shared" si="3"/>
        <v>105000</v>
      </c>
      <c r="K50" s="34">
        <v>1</v>
      </c>
      <c r="L50" s="67">
        <v>100000</v>
      </c>
      <c r="M50" s="58">
        <f t="shared" si="4"/>
        <v>100000</v>
      </c>
      <c r="N50" s="36">
        <v>0</v>
      </c>
      <c r="O50" s="36">
        <v>15000</v>
      </c>
      <c r="P50" s="59">
        <v>5000</v>
      </c>
      <c r="Q50" s="60">
        <v>202000</v>
      </c>
      <c r="R50" s="61">
        <v>225000</v>
      </c>
      <c r="S50" s="62">
        <f t="shared" si="5"/>
        <v>23000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24.75">
      <c r="A51" s="1"/>
      <c r="B51" s="28" t="s">
        <v>129</v>
      </c>
      <c r="C51" s="28" t="s">
        <v>130</v>
      </c>
      <c r="D51" s="6" t="s">
        <v>73</v>
      </c>
      <c r="E51" s="33"/>
      <c r="F51" s="33">
        <v>46058</v>
      </c>
      <c r="G51" s="56" t="s">
        <v>128</v>
      </c>
      <c r="H51" s="57">
        <v>3</v>
      </c>
      <c r="I51" s="35">
        <v>35000</v>
      </c>
      <c r="J51" s="58">
        <f t="shared" si="3"/>
        <v>105000</v>
      </c>
      <c r="K51" s="34">
        <v>1</v>
      </c>
      <c r="L51" s="35">
        <v>100000</v>
      </c>
      <c r="M51" s="58">
        <f t="shared" si="4"/>
        <v>100000</v>
      </c>
      <c r="N51" s="36">
        <v>0</v>
      </c>
      <c r="O51" s="36">
        <v>15000</v>
      </c>
      <c r="P51" s="59">
        <v>5000</v>
      </c>
      <c r="Q51" s="60">
        <v>203000</v>
      </c>
      <c r="R51" s="61">
        <v>225000</v>
      </c>
      <c r="S51" s="62">
        <f t="shared" si="5"/>
        <v>22000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24.75">
      <c r="A52" s="1"/>
      <c r="B52" s="28" t="s">
        <v>131</v>
      </c>
      <c r="C52" s="28" t="s">
        <v>132</v>
      </c>
      <c r="D52" s="6" t="s">
        <v>73</v>
      </c>
      <c r="E52" s="33"/>
      <c r="F52" s="33">
        <v>46058</v>
      </c>
      <c r="G52" s="56" t="s">
        <v>128</v>
      </c>
      <c r="H52" s="57">
        <v>4</v>
      </c>
      <c r="I52" s="35">
        <v>35000</v>
      </c>
      <c r="J52" s="58">
        <f t="shared" si="3"/>
        <v>140000</v>
      </c>
      <c r="K52" s="34">
        <v>1</v>
      </c>
      <c r="L52" s="35">
        <v>100000</v>
      </c>
      <c r="M52" s="58">
        <f t="shared" si="4"/>
        <v>100000</v>
      </c>
      <c r="N52" s="36">
        <v>0</v>
      </c>
      <c r="O52" s="36">
        <v>15000</v>
      </c>
      <c r="P52" s="59">
        <v>5000</v>
      </c>
      <c r="Q52" s="60">
        <v>204000</v>
      </c>
      <c r="R52" s="61">
        <v>260000</v>
      </c>
      <c r="S52" s="62">
        <f t="shared" si="5"/>
        <v>56000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24.75">
      <c r="A53" s="1"/>
      <c r="B53" s="28" t="s">
        <v>133</v>
      </c>
      <c r="C53" s="28" t="s">
        <v>134</v>
      </c>
      <c r="D53" s="6" t="s">
        <v>73</v>
      </c>
      <c r="E53" s="33"/>
      <c r="F53" s="33">
        <v>46058</v>
      </c>
      <c r="G53" s="56" t="s">
        <v>128</v>
      </c>
      <c r="H53" s="57">
        <v>5</v>
      </c>
      <c r="I53" s="35">
        <v>35000</v>
      </c>
      <c r="J53" s="58">
        <f t="shared" si="3"/>
        <v>175000</v>
      </c>
      <c r="K53" s="34">
        <v>1</v>
      </c>
      <c r="L53" s="35">
        <v>100000</v>
      </c>
      <c r="M53" s="58">
        <f t="shared" si="4"/>
        <v>100000</v>
      </c>
      <c r="N53" s="36">
        <v>0</v>
      </c>
      <c r="O53" s="36">
        <v>15000</v>
      </c>
      <c r="P53" s="59">
        <v>5000</v>
      </c>
      <c r="Q53" s="60">
        <v>205000</v>
      </c>
      <c r="R53" s="61">
        <v>295000</v>
      </c>
      <c r="S53" s="62">
        <f t="shared" si="5"/>
        <v>90000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24.75">
      <c r="A54" s="1"/>
      <c r="B54" s="28" t="s">
        <v>135</v>
      </c>
      <c r="C54" s="28" t="s">
        <v>136</v>
      </c>
      <c r="D54" s="6" t="s">
        <v>73</v>
      </c>
      <c r="E54" s="33"/>
      <c r="F54" s="33">
        <v>46058</v>
      </c>
      <c r="G54" s="56" t="s">
        <v>128</v>
      </c>
      <c r="H54" s="57">
        <v>4</v>
      </c>
      <c r="I54" s="35">
        <v>35000</v>
      </c>
      <c r="J54" s="58">
        <f t="shared" si="3"/>
        <v>140000</v>
      </c>
      <c r="K54" s="34">
        <v>1</v>
      </c>
      <c r="L54" s="35">
        <v>100000</v>
      </c>
      <c r="M54" s="58">
        <f t="shared" si="4"/>
        <v>100000</v>
      </c>
      <c r="N54" s="36">
        <v>0</v>
      </c>
      <c r="O54" s="36">
        <v>15000</v>
      </c>
      <c r="P54" s="59">
        <v>5000</v>
      </c>
      <c r="Q54" s="60">
        <v>206000</v>
      </c>
      <c r="R54" s="61">
        <v>260000</v>
      </c>
      <c r="S54" s="62">
        <f t="shared" si="5"/>
        <v>54000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24.75">
      <c r="A55" s="1"/>
      <c r="B55" s="28" t="s">
        <v>137</v>
      </c>
      <c r="C55" s="28" t="s">
        <v>138</v>
      </c>
      <c r="D55" s="6" t="s">
        <v>73</v>
      </c>
      <c r="E55" s="33"/>
      <c r="F55" s="33">
        <v>46270</v>
      </c>
      <c r="G55" s="56" t="s">
        <v>139</v>
      </c>
      <c r="H55" s="57">
        <v>4</v>
      </c>
      <c r="I55" s="35">
        <v>35000</v>
      </c>
      <c r="J55" s="58">
        <f t="shared" si="3"/>
        <v>140000</v>
      </c>
      <c r="K55" s="34">
        <v>1</v>
      </c>
      <c r="L55" s="35">
        <v>100000</v>
      </c>
      <c r="M55" s="58">
        <f t="shared" si="4"/>
        <v>100000</v>
      </c>
      <c r="N55" s="36">
        <v>0</v>
      </c>
      <c r="O55" s="36">
        <v>15000</v>
      </c>
      <c r="P55" s="59">
        <v>5000</v>
      </c>
      <c r="Q55" s="60">
        <v>207000</v>
      </c>
      <c r="R55" s="61">
        <v>260000</v>
      </c>
      <c r="S55" s="62">
        <f t="shared" si="5"/>
        <v>53000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24.75">
      <c r="A56" s="1"/>
      <c r="B56" s="28" t="s">
        <v>140</v>
      </c>
      <c r="C56" s="28" t="s">
        <v>141</v>
      </c>
      <c r="D56" s="6" t="s">
        <v>73</v>
      </c>
      <c r="E56" s="33"/>
      <c r="F56" s="33">
        <v>46270</v>
      </c>
      <c r="G56" s="56" t="s">
        <v>139</v>
      </c>
      <c r="H56" s="57">
        <v>8</v>
      </c>
      <c r="I56" s="35">
        <v>35000</v>
      </c>
      <c r="J56" s="58">
        <f t="shared" si="3"/>
        <v>280000</v>
      </c>
      <c r="K56" s="34">
        <v>1</v>
      </c>
      <c r="L56" s="35">
        <v>100000</v>
      </c>
      <c r="M56" s="58">
        <f t="shared" si="4"/>
        <v>100000</v>
      </c>
      <c r="N56" s="36">
        <v>0</v>
      </c>
      <c r="O56" s="36">
        <v>15000</v>
      </c>
      <c r="P56" s="59">
        <v>5000</v>
      </c>
      <c r="Q56" s="60">
        <v>208000</v>
      </c>
      <c r="R56" s="61">
        <v>400000</v>
      </c>
      <c r="S56" s="62">
        <f t="shared" si="5"/>
        <v>192000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24.75">
      <c r="A57" s="1"/>
      <c r="B57" s="28" t="s">
        <v>142</v>
      </c>
      <c r="C57" s="28" t="s">
        <v>143</v>
      </c>
      <c r="D57" s="6" t="s">
        <v>73</v>
      </c>
      <c r="E57" s="33"/>
      <c r="F57" s="33">
        <v>46270</v>
      </c>
      <c r="G57" s="56" t="s">
        <v>139</v>
      </c>
      <c r="H57" s="57">
        <v>6</v>
      </c>
      <c r="I57" s="35">
        <v>35000</v>
      </c>
      <c r="J57" s="58">
        <f t="shared" si="3"/>
        <v>210000</v>
      </c>
      <c r="K57" s="34">
        <v>1</v>
      </c>
      <c r="L57" s="35">
        <v>100000</v>
      </c>
      <c r="M57" s="58">
        <f t="shared" si="4"/>
        <v>100000</v>
      </c>
      <c r="N57" s="36">
        <v>0</v>
      </c>
      <c r="O57" s="36">
        <v>15000</v>
      </c>
      <c r="P57" s="59">
        <v>5000</v>
      </c>
      <c r="Q57" s="60">
        <v>209000</v>
      </c>
      <c r="R57" s="61">
        <v>330000</v>
      </c>
      <c r="S57" s="62">
        <f t="shared" si="5"/>
        <v>121000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24.75">
      <c r="A58" s="1"/>
      <c r="B58" s="28" t="s">
        <v>144</v>
      </c>
      <c r="C58" s="28" t="s">
        <v>145</v>
      </c>
      <c r="D58" s="6" t="s">
        <v>73</v>
      </c>
      <c r="E58" s="33"/>
      <c r="F58" s="33">
        <v>46270</v>
      </c>
      <c r="G58" s="56" t="s">
        <v>139</v>
      </c>
      <c r="H58" s="57">
        <v>6</v>
      </c>
      <c r="I58" s="35">
        <v>35000</v>
      </c>
      <c r="J58" s="58">
        <f t="shared" si="3"/>
        <v>210000</v>
      </c>
      <c r="K58" s="34">
        <v>1</v>
      </c>
      <c r="L58" s="35">
        <v>100000</v>
      </c>
      <c r="M58" s="58">
        <f t="shared" si="4"/>
        <v>100000</v>
      </c>
      <c r="N58" s="36">
        <v>0</v>
      </c>
      <c r="O58" s="36">
        <v>15000</v>
      </c>
      <c r="P58" s="59">
        <v>5000</v>
      </c>
      <c r="Q58" s="60">
        <v>210000</v>
      </c>
      <c r="R58" s="61">
        <v>330000</v>
      </c>
      <c r="S58" s="62">
        <f t="shared" si="5"/>
        <v>120000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>
      <c r="A59" s="1"/>
      <c r="B59" s="28" t="s">
        <v>146</v>
      </c>
      <c r="C59" s="28" t="s">
        <v>147</v>
      </c>
      <c r="D59" s="6" t="s">
        <v>73</v>
      </c>
      <c r="E59" s="33"/>
      <c r="F59" s="33">
        <v>46270</v>
      </c>
      <c r="G59" s="56" t="s">
        <v>139</v>
      </c>
      <c r="H59" s="57">
        <v>5</v>
      </c>
      <c r="I59" s="35">
        <v>35000</v>
      </c>
      <c r="J59" s="58">
        <f t="shared" ref="J59:J113" si="6">H59*I59</f>
        <v>175000</v>
      </c>
      <c r="K59" s="34">
        <v>1</v>
      </c>
      <c r="L59" s="35">
        <v>100000</v>
      </c>
      <c r="M59" s="58">
        <f t="shared" ref="M59:M113" si="7">K59*L59</f>
        <v>100000</v>
      </c>
      <c r="N59" s="36">
        <v>0</v>
      </c>
      <c r="O59" s="36">
        <v>15000</v>
      </c>
      <c r="P59" s="59">
        <v>5000</v>
      </c>
      <c r="Q59" s="60">
        <v>211000</v>
      </c>
      <c r="R59" s="61">
        <v>295000</v>
      </c>
      <c r="S59" s="62">
        <f t="shared" ref="S59:S113" si="8">R59-Q59</f>
        <v>84000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24.75">
      <c r="A60" s="1"/>
      <c r="B60" s="28" t="s">
        <v>148</v>
      </c>
      <c r="C60" s="28" t="s">
        <v>149</v>
      </c>
      <c r="D60" s="6" t="s">
        <v>73</v>
      </c>
      <c r="E60" s="33"/>
      <c r="F60" s="33" t="s">
        <v>117</v>
      </c>
      <c r="G60" s="56" t="s">
        <v>139</v>
      </c>
      <c r="H60" s="57">
        <v>8</v>
      </c>
      <c r="I60" s="35">
        <v>35000</v>
      </c>
      <c r="J60" s="58">
        <f t="shared" si="6"/>
        <v>280000</v>
      </c>
      <c r="K60" s="34">
        <v>1</v>
      </c>
      <c r="L60" s="35">
        <v>100000</v>
      </c>
      <c r="M60" s="58">
        <f t="shared" si="7"/>
        <v>100000</v>
      </c>
      <c r="N60" s="36">
        <v>0</v>
      </c>
      <c r="O60" s="36">
        <v>15000</v>
      </c>
      <c r="P60" s="59">
        <v>5000</v>
      </c>
      <c r="Q60" s="60">
        <v>212000</v>
      </c>
      <c r="R60" s="61">
        <v>400000</v>
      </c>
      <c r="S60" s="62">
        <f t="shared" si="8"/>
        <v>188000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24.75">
      <c r="A61" s="1"/>
      <c r="B61" s="28" t="s">
        <v>150</v>
      </c>
      <c r="C61" s="28" t="s">
        <v>151</v>
      </c>
      <c r="D61" s="6" t="s">
        <v>73</v>
      </c>
      <c r="E61" s="33"/>
      <c r="F61" s="33" t="s">
        <v>117</v>
      </c>
      <c r="G61" s="56" t="s">
        <v>139</v>
      </c>
      <c r="H61" s="57">
        <v>5</v>
      </c>
      <c r="I61" s="35">
        <v>35000</v>
      </c>
      <c r="J61" s="58">
        <f t="shared" si="6"/>
        <v>175000</v>
      </c>
      <c r="K61" s="34">
        <v>1</v>
      </c>
      <c r="L61" s="35">
        <v>100000</v>
      </c>
      <c r="M61" s="58">
        <f t="shared" si="7"/>
        <v>100000</v>
      </c>
      <c r="N61" s="36">
        <v>0</v>
      </c>
      <c r="O61" s="36">
        <v>15000</v>
      </c>
      <c r="P61" s="59">
        <v>5000</v>
      </c>
      <c r="Q61" s="60">
        <v>213000</v>
      </c>
      <c r="R61" s="61">
        <v>295000</v>
      </c>
      <c r="S61" s="62">
        <f t="shared" si="8"/>
        <v>82000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24.75">
      <c r="A62" s="1"/>
      <c r="B62" s="28" t="s">
        <v>152</v>
      </c>
      <c r="C62" s="28" t="s">
        <v>153</v>
      </c>
      <c r="D62" s="6" t="s">
        <v>73</v>
      </c>
      <c r="E62" s="33"/>
      <c r="F62" s="33" t="s">
        <v>117</v>
      </c>
      <c r="G62" s="56" t="s">
        <v>139</v>
      </c>
      <c r="H62" s="57">
        <v>6</v>
      </c>
      <c r="I62" s="35">
        <v>35000</v>
      </c>
      <c r="J62" s="58">
        <f t="shared" si="6"/>
        <v>210000</v>
      </c>
      <c r="K62" s="34">
        <v>1</v>
      </c>
      <c r="L62" s="35">
        <v>100000</v>
      </c>
      <c r="M62" s="58">
        <f t="shared" si="7"/>
        <v>100000</v>
      </c>
      <c r="N62" s="36">
        <v>0</v>
      </c>
      <c r="O62" s="36">
        <v>15000</v>
      </c>
      <c r="P62" s="59">
        <v>5000</v>
      </c>
      <c r="Q62" s="60">
        <v>214000</v>
      </c>
      <c r="R62" s="61">
        <v>330000</v>
      </c>
      <c r="S62" s="62">
        <f t="shared" si="8"/>
        <v>116000</v>
      </c>
      <c r="T62" s="1"/>
      <c r="U62" s="1"/>
    </row>
    <row r="63" spans="1:41" ht="24.75">
      <c r="A63" s="1"/>
      <c r="B63" s="28" t="s">
        <v>154</v>
      </c>
      <c r="C63" s="28" t="s">
        <v>155</v>
      </c>
      <c r="D63" s="6" t="s">
        <v>73</v>
      </c>
      <c r="E63" s="33"/>
      <c r="F63" s="33" t="s">
        <v>117</v>
      </c>
      <c r="G63" s="56" t="s">
        <v>139</v>
      </c>
      <c r="H63" s="57">
        <v>10</v>
      </c>
      <c r="I63" s="35">
        <v>35000</v>
      </c>
      <c r="J63" s="58">
        <f t="shared" si="6"/>
        <v>350000</v>
      </c>
      <c r="K63" s="34">
        <v>1</v>
      </c>
      <c r="L63" s="35">
        <v>100000</v>
      </c>
      <c r="M63" s="58">
        <f t="shared" si="7"/>
        <v>100000</v>
      </c>
      <c r="N63" s="36">
        <v>0</v>
      </c>
      <c r="O63" s="36">
        <v>15000</v>
      </c>
      <c r="P63" s="59">
        <v>5000</v>
      </c>
      <c r="Q63" s="60">
        <v>215000</v>
      </c>
      <c r="R63" s="61">
        <v>470000</v>
      </c>
      <c r="S63" s="62">
        <f t="shared" si="8"/>
        <v>255000</v>
      </c>
      <c r="T63" s="1"/>
      <c r="U63" s="1"/>
    </row>
    <row r="64" spans="1:41" ht="24.75">
      <c r="A64" s="1"/>
      <c r="B64" s="28" t="s">
        <v>156</v>
      </c>
      <c r="C64" s="28" t="s">
        <v>157</v>
      </c>
      <c r="D64" s="6" t="s">
        <v>73</v>
      </c>
      <c r="E64" s="33"/>
      <c r="F64" s="33" t="s">
        <v>117</v>
      </c>
      <c r="G64" s="56" t="s">
        <v>139</v>
      </c>
      <c r="H64" s="57">
        <v>8</v>
      </c>
      <c r="I64" s="35">
        <v>35000</v>
      </c>
      <c r="J64" s="58">
        <f t="shared" si="6"/>
        <v>280000</v>
      </c>
      <c r="K64" s="34">
        <v>1</v>
      </c>
      <c r="L64" s="35">
        <v>100000</v>
      </c>
      <c r="M64" s="58">
        <f t="shared" si="7"/>
        <v>100000</v>
      </c>
      <c r="N64" s="36">
        <v>0</v>
      </c>
      <c r="O64" s="36">
        <v>15000</v>
      </c>
      <c r="P64" s="59">
        <v>5000</v>
      </c>
      <c r="Q64" s="60">
        <v>216000</v>
      </c>
      <c r="R64" s="61">
        <v>400000</v>
      </c>
      <c r="S64" s="62">
        <f t="shared" si="8"/>
        <v>184000</v>
      </c>
      <c r="T64" s="1"/>
      <c r="U64" s="1"/>
    </row>
    <row r="65" spans="1:21" ht="24.75">
      <c r="A65" s="1"/>
      <c r="B65" s="28" t="s">
        <v>158</v>
      </c>
      <c r="C65" s="28" t="s">
        <v>159</v>
      </c>
      <c r="D65" s="6" t="s">
        <v>73</v>
      </c>
      <c r="E65" s="33"/>
      <c r="F65" s="33" t="s">
        <v>160</v>
      </c>
      <c r="G65" s="56" t="s">
        <v>139</v>
      </c>
      <c r="H65" s="57">
        <v>5</v>
      </c>
      <c r="I65" s="35">
        <v>35000</v>
      </c>
      <c r="J65" s="58">
        <f t="shared" si="6"/>
        <v>175000</v>
      </c>
      <c r="K65" s="34">
        <v>1</v>
      </c>
      <c r="L65" s="35">
        <v>100000</v>
      </c>
      <c r="M65" s="58">
        <f t="shared" si="7"/>
        <v>100000</v>
      </c>
      <c r="N65" s="36">
        <v>0</v>
      </c>
      <c r="O65" s="36">
        <v>15000</v>
      </c>
      <c r="P65" s="59">
        <v>5000</v>
      </c>
      <c r="Q65" s="60">
        <v>217000</v>
      </c>
      <c r="R65" s="61">
        <v>295000</v>
      </c>
      <c r="S65" s="62">
        <f t="shared" si="8"/>
        <v>78000</v>
      </c>
      <c r="T65" s="1"/>
      <c r="U65" s="1"/>
    </row>
    <row r="66" spans="1:21" ht="24.75">
      <c r="A66" s="1"/>
      <c r="B66" s="28" t="s">
        <v>161</v>
      </c>
      <c r="C66" s="28" t="s">
        <v>162</v>
      </c>
      <c r="D66" s="6" t="s">
        <v>73</v>
      </c>
      <c r="E66" s="33"/>
      <c r="F66" s="33" t="s">
        <v>160</v>
      </c>
      <c r="G66" s="56" t="s">
        <v>139</v>
      </c>
      <c r="H66" s="57">
        <v>5</v>
      </c>
      <c r="I66" s="35">
        <v>35000</v>
      </c>
      <c r="J66" s="58">
        <f t="shared" si="6"/>
        <v>175000</v>
      </c>
      <c r="K66" s="34">
        <v>1</v>
      </c>
      <c r="L66" s="35">
        <v>100000</v>
      </c>
      <c r="M66" s="58">
        <f t="shared" si="7"/>
        <v>100000</v>
      </c>
      <c r="N66" s="36">
        <v>0</v>
      </c>
      <c r="O66" s="36">
        <v>15000</v>
      </c>
      <c r="P66" s="59">
        <v>5000</v>
      </c>
      <c r="Q66" s="60">
        <v>218000</v>
      </c>
      <c r="R66" s="61">
        <v>295000</v>
      </c>
      <c r="S66" s="62">
        <f t="shared" si="8"/>
        <v>77000</v>
      </c>
      <c r="T66" s="1"/>
      <c r="U66" s="1"/>
    </row>
    <row r="67" spans="1:21" ht="24.75">
      <c r="A67" s="1"/>
      <c r="B67" s="28" t="s">
        <v>163</v>
      </c>
      <c r="C67" s="28" t="s">
        <v>164</v>
      </c>
      <c r="D67" s="6" t="s">
        <v>73</v>
      </c>
      <c r="E67" s="33"/>
      <c r="F67" s="33" t="s">
        <v>160</v>
      </c>
      <c r="G67" s="56" t="s">
        <v>139</v>
      </c>
      <c r="H67" s="57">
        <v>6</v>
      </c>
      <c r="I67" s="35">
        <v>35000</v>
      </c>
      <c r="J67" s="58">
        <f t="shared" si="6"/>
        <v>210000</v>
      </c>
      <c r="K67" s="34">
        <v>1</v>
      </c>
      <c r="L67" s="35">
        <v>100000</v>
      </c>
      <c r="M67" s="58">
        <f t="shared" si="7"/>
        <v>100000</v>
      </c>
      <c r="N67" s="36">
        <v>0</v>
      </c>
      <c r="O67" s="36">
        <v>15000</v>
      </c>
      <c r="P67" s="59">
        <v>5000</v>
      </c>
      <c r="Q67" s="60">
        <v>219000</v>
      </c>
      <c r="R67" s="61">
        <v>330000</v>
      </c>
      <c r="S67" s="62">
        <f t="shared" si="8"/>
        <v>111000</v>
      </c>
      <c r="T67" s="1"/>
      <c r="U67" s="1"/>
    </row>
    <row r="68" spans="1:21" ht="24.75">
      <c r="A68" s="1"/>
      <c r="B68" s="28" t="s">
        <v>165</v>
      </c>
      <c r="C68" s="28" t="s">
        <v>166</v>
      </c>
      <c r="D68" s="6" t="s">
        <v>73</v>
      </c>
      <c r="E68" s="33"/>
      <c r="F68" s="33" t="s">
        <v>160</v>
      </c>
      <c r="G68" s="56" t="s">
        <v>139</v>
      </c>
      <c r="H68" s="57">
        <v>6</v>
      </c>
      <c r="I68" s="35">
        <v>35000</v>
      </c>
      <c r="J68" s="58">
        <f t="shared" si="6"/>
        <v>210000</v>
      </c>
      <c r="K68" s="34">
        <v>1</v>
      </c>
      <c r="L68" s="35">
        <v>100000</v>
      </c>
      <c r="M68" s="58">
        <f t="shared" si="7"/>
        <v>100000</v>
      </c>
      <c r="N68" s="36">
        <v>0</v>
      </c>
      <c r="O68" s="36">
        <v>15000</v>
      </c>
      <c r="P68" s="59">
        <v>5000</v>
      </c>
      <c r="Q68" s="60">
        <v>220000</v>
      </c>
      <c r="R68" s="61">
        <v>330000</v>
      </c>
      <c r="S68" s="62">
        <f t="shared" si="8"/>
        <v>110000</v>
      </c>
      <c r="T68" s="1"/>
      <c r="U68" s="1"/>
    </row>
    <row r="69" spans="1:21" ht="24.75">
      <c r="A69" s="1"/>
      <c r="B69" s="28" t="s">
        <v>167</v>
      </c>
      <c r="C69" s="28" t="s">
        <v>168</v>
      </c>
      <c r="D69" s="6" t="s">
        <v>73</v>
      </c>
      <c r="E69" s="33"/>
      <c r="F69" s="33" t="s">
        <v>160</v>
      </c>
      <c r="G69" s="56" t="s">
        <v>139</v>
      </c>
      <c r="H69" s="57">
        <v>5</v>
      </c>
      <c r="I69" s="35">
        <v>35000</v>
      </c>
      <c r="J69" s="58">
        <f t="shared" si="6"/>
        <v>175000</v>
      </c>
      <c r="K69" s="34">
        <v>1</v>
      </c>
      <c r="L69" s="35">
        <v>100000</v>
      </c>
      <c r="M69" s="58">
        <f t="shared" si="7"/>
        <v>100000</v>
      </c>
      <c r="N69" s="36">
        <v>0</v>
      </c>
      <c r="O69" s="36">
        <v>15000</v>
      </c>
      <c r="P69" s="59">
        <v>5000</v>
      </c>
      <c r="Q69" s="60">
        <v>221000</v>
      </c>
      <c r="R69" s="61">
        <v>295000</v>
      </c>
      <c r="S69" s="62">
        <f t="shared" si="8"/>
        <v>74000</v>
      </c>
      <c r="T69" s="1"/>
      <c r="U69" s="1"/>
    </row>
    <row r="70" spans="1:21" ht="24.75">
      <c r="A70" s="1"/>
      <c r="B70" s="28" t="s">
        <v>169</v>
      </c>
      <c r="C70" s="28" t="s">
        <v>170</v>
      </c>
      <c r="D70" s="6" t="s">
        <v>73</v>
      </c>
      <c r="E70" s="33"/>
      <c r="F70" s="33" t="s">
        <v>128</v>
      </c>
      <c r="G70" s="56" t="s">
        <v>139</v>
      </c>
      <c r="H70" s="57">
        <v>5</v>
      </c>
      <c r="I70" s="35">
        <v>35000</v>
      </c>
      <c r="J70" s="58">
        <f t="shared" si="6"/>
        <v>175000</v>
      </c>
      <c r="K70" s="34">
        <v>1</v>
      </c>
      <c r="L70" s="35">
        <v>100000</v>
      </c>
      <c r="M70" s="58">
        <f t="shared" si="7"/>
        <v>100000</v>
      </c>
      <c r="N70" s="36">
        <v>0</v>
      </c>
      <c r="O70" s="36">
        <v>15000</v>
      </c>
      <c r="P70" s="59">
        <v>5000</v>
      </c>
      <c r="Q70" s="60">
        <v>222000</v>
      </c>
      <c r="R70" s="61">
        <v>295000</v>
      </c>
      <c r="S70" s="62">
        <f t="shared" si="8"/>
        <v>73000</v>
      </c>
      <c r="T70" s="1"/>
      <c r="U70" s="1"/>
    </row>
    <row r="71" spans="1:21" ht="24.75">
      <c r="A71" s="1"/>
      <c r="B71" s="28" t="s">
        <v>171</v>
      </c>
      <c r="C71" s="28" t="s">
        <v>172</v>
      </c>
      <c r="D71" s="6" t="s">
        <v>73</v>
      </c>
      <c r="E71" s="33"/>
      <c r="F71" s="33" t="s">
        <v>128</v>
      </c>
      <c r="G71" s="56" t="s">
        <v>139</v>
      </c>
      <c r="H71" s="57">
        <v>8</v>
      </c>
      <c r="I71" s="35">
        <v>35000</v>
      </c>
      <c r="J71" s="58">
        <f t="shared" si="6"/>
        <v>280000</v>
      </c>
      <c r="K71" s="34">
        <v>1</v>
      </c>
      <c r="L71" s="35">
        <v>100000</v>
      </c>
      <c r="M71" s="58">
        <f t="shared" si="7"/>
        <v>100000</v>
      </c>
      <c r="N71" s="36">
        <v>0</v>
      </c>
      <c r="O71" s="36">
        <v>15000</v>
      </c>
      <c r="P71" s="59">
        <v>5000</v>
      </c>
      <c r="Q71" s="60">
        <v>223000</v>
      </c>
      <c r="R71" s="61">
        <v>400000</v>
      </c>
      <c r="S71" s="62">
        <f t="shared" si="8"/>
        <v>177000</v>
      </c>
      <c r="T71" s="1"/>
      <c r="U71" s="1"/>
    </row>
    <row r="72" spans="1:21" ht="24.75">
      <c r="A72" s="1"/>
      <c r="B72" s="28" t="s">
        <v>173</v>
      </c>
      <c r="C72" s="28" t="s">
        <v>174</v>
      </c>
      <c r="D72" s="6" t="s">
        <v>73</v>
      </c>
      <c r="E72" s="33"/>
      <c r="F72" s="33" t="s">
        <v>128</v>
      </c>
      <c r="G72" s="56" t="s">
        <v>139</v>
      </c>
      <c r="H72" s="57">
        <v>6</v>
      </c>
      <c r="I72" s="35">
        <v>35000</v>
      </c>
      <c r="J72" s="58">
        <f t="shared" si="6"/>
        <v>210000</v>
      </c>
      <c r="K72" s="34">
        <v>1</v>
      </c>
      <c r="L72" s="35">
        <v>100000</v>
      </c>
      <c r="M72" s="58">
        <f t="shared" si="7"/>
        <v>100000</v>
      </c>
      <c r="N72" s="36">
        <v>0</v>
      </c>
      <c r="O72" s="36">
        <v>15000</v>
      </c>
      <c r="P72" s="59">
        <v>5000</v>
      </c>
      <c r="Q72" s="60">
        <v>224000</v>
      </c>
      <c r="R72" s="61">
        <v>330000</v>
      </c>
      <c r="S72" s="62">
        <f t="shared" si="8"/>
        <v>106000</v>
      </c>
      <c r="T72" s="1"/>
      <c r="U72" s="1"/>
    </row>
    <row r="73" spans="1:21" ht="24.75">
      <c r="A73" s="1"/>
      <c r="B73" s="28" t="s">
        <v>175</v>
      </c>
      <c r="C73" s="28" t="s">
        <v>176</v>
      </c>
      <c r="D73" s="6" t="s">
        <v>73</v>
      </c>
      <c r="E73" s="33"/>
      <c r="F73" s="33" t="s">
        <v>128</v>
      </c>
      <c r="G73" s="56" t="s">
        <v>139</v>
      </c>
      <c r="H73" s="57">
        <v>4</v>
      </c>
      <c r="I73" s="35">
        <v>35000</v>
      </c>
      <c r="J73" s="58">
        <f t="shared" si="6"/>
        <v>140000</v>
      </c>
      <c r="K73" s="34">
        <v>1</v>
      </c>
      <c r="L73" s="35">
        <v>100000</v>
      </c>
      <c r="M73" s="58">
        <f t="shared" si="7"/>
        <v>100000</v>
      </c>
      <c r="N73" s="36">
        <v>0</v>
      </c>
      <c r="O73" s="36">
        <v>15000</v>
      </c>
      <c r="P73" s="59">
        <v>5000</v>
      </c>
      <c r="Q73" s="60">
        <v>225000</v>
      </c>
      <c r="R73" s="61">
        <v>260000</v>
      </c>
      <c r="S73" s="62">
        <f t="shared" si="8"/>
        <v>35000</v>
      </c>
      <c r="T73" s="1"/>
      <c r="U73" s="1"/>
    </row>
    <row r="74" spans="1:21" ht="24.75">
      <c r="A74" s="1"/>
      <c r="B74" s="28" t="s">
        <v>177</v>
      </c>
      <c r="C74" s="28" t="s">
        <v>178</v>
      </c>
      <c r="D74" s="6" t="s">
        <v>73</v>
      </c>
      <c r="E74" s="33"/>
      <c r="F74" s="33" t="s">
        <v>128</v>
      </c>
      <c r="G74" s="56" t="s">
        <v>139</v>
      </c>
      <c r="H74" s="57">
        <v>6</v>
      </c>
      <c r="I74" s="35">
        <v>30000</v>
      </c>
      <c r="J74" s="58">
        <f t="shared" si="6"/>
        <v>180000</v>
      </c>
      <c r="K74" s="34">
        <v>1</v>
      </c>
      <c r="L74" s="35">
        <v>100000</v>
      </c>
      <c r="M74" s="58">
        <f t="shared" si="7"/>
        <v>100000</v>
      </c>
      <c r="N74" s="36">
        <v>0</v>
      </c>
      <c r="O74" s="36">
        <v>15000</v>
      </c>
      <c r="P74" s="59">
        <v>5000</v>
      </c>
      <c r="Q74" s="60">
        <v>226000</v>
      </c>
      <c r="R74" s="61">
        <v>300000</v>
      </c>
      <c r="S74" s="62">
        <f t="shared" si="8"/>
        <v>74000</v>
      </c>
      <c r="T74" s="1"/>
      <c r="U74" s="1"/>
    </row>
    <row r="75" spans="1:21">
      <c r="A75" s="1"/>
      <c r="B75" s="28" t="s">
        <v>179</v>
      </c>
      <c r="C75" s="28" t="s">
        <v>180</v>
      </c>
      <c r="D75" s="6" t="s">
        <v>73</v>
      </c>
      <c r="E75" s="33"/>
      <c r="F75" s="33">
        <v>46179</v>
      </c>
      <c r="G75" s="56" t="s">
        <v>139</v>
      </c>
      <c r="H75" s="57">
        <v>6</v>
      </c>
      <c r="I75" s="35">
        <v>30000</v>
      </c>
      <c r="J75" s="58">
        <f t="shared" si="6"/>
        <v>180000</v>
      </c>
      <c r="K75" s="34">
        <v>1</v>
      </c>
      <c r="L75" s="35">
        <v>150000</v>
      </c>
      <c r="M75" s="58">
        <f t="shared" si="7"/>
        <v>150000</v>
      </c>
      <c r="N75" s="36">
        <v>0</v>
      </c>
      <c r="O75" s="36">
        <v>15000</v>
      </c>
      <c r="P75" s="59">
        <v>5000</v>
      </c>
      <c r="Q75" s="60">
        <v>227000</v>
      </c>
      <c r="R75" s="61">
        <v>350000</v>
      </c>
      <c r="S75" s="62">
        <f t="shared" si="8"/>
        <v>123000</v>
      </c>
      <c r="T75" s="1"/>
      <c r="U75" s="1"/>
    </row>
    <row r="76" spans="1:21">
      <c r="A76" s="1"/>
      <c r="B76" s="28" t="s">
        <v>181</v>
      </c>
      <c r="C76" s="28" t="s">
        <v>182</v>
      </c>
      <c r="D76" s="6" t="s">
        <v>73</v>
      </c>
      <c r="E76" s="33"/>
      <c r="F76" s="33">
        <v>46179</v>
      </c>
      <c r="G76" s="56" t="s">
        <v>139</v>
      </c>
      <c r="H76" s="57">
        <v>8</v>
      </c>
      <c r="I76" s="35">
        <v>30000</v>
      </c>
      <c r="J76" s="58">
        <f t="shared" si="6"/>
        <v>240000</v>
      </c>
      <c r="K76" s="34">
        <v>1</v>
      </c>
      <c r="L76" s="35">
        <v>150000</v>
      </c>
      <c r="M76" s="58">
        <f t="shared" si="7"/>
        <v>150000</v>
      </c>
      <c r="N76" s="36">
        <v>0</v>
      </c>
      <c r="O76" s="36">
        <v>15000</v>
      </c>
      <c r="P76" s="59">
        <v>5000</v>
      </c>
      <c r="Q76" s="60">
        <v>228000</v>
      </c>
      <c r="R76" s="61">
        <v>410000</v>
      </c>
      <c r="S76" s="62">
        <f t="shared" si="8"/>
        <v>182000</v>
      </c>
      <c r="T76" s="1"/>
      <c r="U76" s="1"/>
    </row>
    <row r="77" spans="1:21" ht="24.75">
      <c r="A77" s="1"/>
      <c r="B77" s="28" t="s">
        <v>183</v>
      </c>
      <c r="C77" s="28" t="s">
        <v>184</v>
      </c>
      <c r="D77" s="6" t="s">
        <v>73</v>
      </c>
      <c r="E77" s="33"/>
      <c r="F77" s="33">
        <v>46179</v>
      </c>
      <c r="G77" s="56" t="s">
        <v>139</v>
      </c>
      <c r="H77" s="57">
        <v>5</v>
      </c>
      <c r="I77" s="35">
        <v>30000</v>
      </c>
      <c r="J77" s="58">
        <f t="shared" si="6"/>
        <v>150000</v>
      </c>
      <c r="K77" s="34">
        <v>1</v>
      </c>
      <c r="L77" s="35">
        <v>150000</v>
      </c>
      <c r="M77" s="58">
        <f t="shared" si="7"/>
        <v>150000</v>
      </c>
      <c r="N77" s="36">
        <v>0</v>
      </c>
      <c r="O77" s="36">
        <v>15000</v>
      </c>
      <c r="P77" s="59">
        <v>5000</v>
      </c>
      <c r="Q77" s="60">
        <v>229000</v>
      </c>
      <c r="R77" s="61">
        <v>320000</v>
      </c>
      <c r="S77" s="62">
        <f t="shared" si="8"/>
        <v>91000</v>
      </c>
      <c r="T77" s="1"/>
      <c r="U77" s="1"/>
    </row>
    <row r="78" spans="1:21">
      <c r="A78" s="1"/>
      <c r="B78" s="28" t="s">
        <v>185</v>
      </c>
      <c r="C78" s="28" t="s">
        <v>186</v>
      </c>
      <c r="D78" s="6" t="s">
        <v>73</v>
      </c>
      <c r="E78" s="33"/>
      <c r="F78" s="33">
        <v>46179</v>
      </c>
      <c r="G78" s="56" t="s">
        <v>139</v>
      </c>
      <c r="H78" s="57">
        <v>6</v>
      </c>
      <c r="I78" s="35">
        <v>30000</v>
      </c>
      <c r="J78" s="58">
        <f t="shared" si="6"/>
        <v>180000</v>
      </c>
      <c r="K78" s="34">
        <v>1</v>
      </c>
      <c r="L78" s="35">
        <v>150000</v>
      </c>
      <c r="M78" s="58">
        <f t="shared" si="7"/>
        <v>150000</v>
      </c>
      <c r="N78" s="36">
        <v>0</v>
      </c>
      <c r="O78" s="36">
        <v>15000</v>
      </c>
      <c r="P78" s="59">
        <v>5000</v>
      </c>
      <c r="Q78" s="60">
        <v>230000</v>
      </c>
      <c r="R78" s="61">
        <v>350000</v>
      </c>
      <c r="S78" s="62">
        <f t="shared" si="8"/>
        <v>120000</v>
      </c>
      <c r="T78" s="1"/>
      <c r="U78" s="1"/>
    </row>
    <row r="79" spans="1:21" ht="24.75">
      <c r="A79" s="1"/>
      <c r="B79" s="28" t="s">
        <v>187</v>
      </c>
      <c r="C79" s="28" t="s">
        <v>188</v>
      </c>
      <c r="D79" s="6" t="s">
        <v>73</v>
      </c>
      <c r="E79" s="33"/>
      <c r="F79" s="33">
        <v>46179</v>
      </c>
      <c r="G79" s="56" t="s">
        <v>139</v>
      </c>
      <c r="H79" s="57">
        <v>10</v>
      </c>
      <c r="I79" s="35">
        <v>30000</v>
      </c>
      <c r="J79" s="58">
        <f t="shared" si="6"/>
        <v>300000</v>
      </c>
      <c r="K79" s="34">
        <v>1</v>
      </c>
      <c r="L79" s="35">
        <v>150000</v>
      </c>
      <c r="M79" s="58">
        <f t="shared" si="7"/>
        <v>150000</v>
      </c>
      <c r="N79" s="36">
        <v>0</v>
      </c>
      <c r="O79" s="36">
        <v>15000</v>
      </c>
      <c r="P79" s="59">
        <v>5000</v>
      </c>
      <c r="Q79" s="60">
        <v>231000</v>
      </c>
      <c r="R79" s="61">
        <v>470000</v>
      </c>
      <c r="S79" s="62">
        <f t="shared" si="8"/>
        <v>239000</v>
      </c>
      <c r="T79" s="1"/>
      <c r="U79" s="1"/>
    </row>
    <row r="80" spans="1:21" ht="24.75">
      <c r="A80" s="1"/>
      <c r="B80" s="28" t="s">
        <v>189</v>
      </c>
      <c r="C80" s="28" t="s">
        <v>190</v>
      </c>
      <c r="D80" s="6" t="s">
        <v>73</v>
      </c>
      <c r="E80" s="33"/>
      <c r="F80" s="33" t="s">
        <v>139</v>
      </c>
      <c r="G80" s="56" t="s">
        <v>139</v>
      </c>
      <c r="H80" s="57">
        <v>12</v>
      </c>
      <c r="I80" s="35">
        <v>30000</v>
      </c>
      <c r="J80" s="58">
        <f t="shared" si="6"/>
        <v>360000</v>
      </c>
      <c r="K80" s="34">
        <v>1</v>
      </c>
      <c r="L80" s="35">
        <v>150000</v>
      </c>
      <c r="M80" s="58">
        <f t="shared" si="7"/>
        <v>150000</v>
      </c>
      <c r="N80" s="36">
        <v>0</v>
      </c>
      <c r="O80" s="36">
        <v>15000</v>
      </c>
      <c r="P80" s="59">
        <v>5000</v>
      </c>
      <c r="Q80" s="60">
        <v>232000</v>
      </c>
      <c r="R80" s="61">
        <v>530000</v>
      </c>
      <c r="S80" s="62">
        <f t="shared" si="8"/>
        <v>298000</v>
      </c>
      <c r="T80" s="1"/>
      <c r="U80" s="1"/>
    </row>
    <row r="81" spans="1:21" ht="24.75">
      <c r="A81" s="1"/>
      <c r="B81" s="28" t="s">
        <v>191</v>
      </c>
      <c r="C81" s="28" t="s">
        <v>192</v>
      </c>
      <c r="D81" s="6" t="s">
        <v>73</v>
      </c>
      <c r="E81" s="33"/>
      <c r="F81" s="33" t="s">
        <v>139</v>
      </c>
      <c r="G81" s="56" t="s">
        <v>139</v>
      </c>
      <c r="H81" s="57">
        <v>8</v>
      </c>
      <c r="I81" s="35">
        <v>30000</v>
      </c>
      <c r="J81" s="58">
        <f t="shared" si="6"/>
        <v>240000</v>
      </c>
      <c r="K81" s="34">
        <v>1</v>
      </c>
      <c r="L81" s="35">
        <v>150000</v>
      </c>
      <c r="M81" s="58">
        <f t="shared" si="7"/>
        <v>150000</v>
      </c>
      <c r="N81" s="36">
        <v>0</v>
      </c>
      <c r="O81" s="36">
        <v>15000</v>
      </c>
      <c r="P81" s="59">
        <v>5000</v>
      </c>
      <c r="Q81" s="60">
        <v>233000</v>
      </c>
      <c r="R81" s="61">
        <v>410000</v>
      </c>
      <c r="S81" s="62">
        <f t="shared" si="8"/>
        <v>177000</v>
      </c>
      <c r="T81" s="1"/>
      <c r="U81" s="1"/>
    </row>
    <row r="82" spans="1:21" ht="24.75">
      <c r="A82" s="1"/>
      <c r="B82" s="28" t="s">
        <v>193</v>
      </c>
      <c r="C82" s="28" t="s">
        <v>194</v>
      </c>
      <c r="D82" s="6" t="s">
        <v>73</v>
      </c>
      <c r="E82" s="33"/>
      <c r="F82" s="33" t="s">
        <v>139</v>
      </c>
      <c r="G82" s="56" t="s">
        <v>139</v>
      </c>
      <c r="H82" s="57">
        <v>8</v>
      </c>
      <c r="I82" s="35">
        <v>30000</v>
      </c>
      <c r="J82" s="58">
        <f t="shared" si="6"/>
        <v>240000</v>
      </c>
      <c r="K82" s="34">
        <v>1</v>
      </c>
      <c r="L82" s="35">
        <v>150000</v>
      </c>
      <c r="M82" s="58">
        <f t="shared" si="7"/>
        <v>150000</v>
      </c>
      <c r="N82" s="36">
        <v>0</v>
      </c>
      <c r="O82" s="36">
        <v>15000</v>
      </c>
      <c r="P82" s="59">
        <v>5000</v>
      </c>
      <c r="Q82" s="60">
        <v>234000</v>
      </c>
      <c r="R82" s="61">
        <v>410000</v>
      </c>
      <c r="S82" s="62">
        <f t="shared" si="8"/>
        <v>176000</v>
      </c>
      <c r="T82" s="1"/>
      <c r="U82" s="1"/>
    </row>
    <row r="83" spans="1:21" ht="24.75">
      <c r="A83" s="1"/>
      <c r="B83" s="28" t="s">
        <v>195</v>
      </c>
      <c r="C83" s="28" t="s">
        <v>196</v>
      </c>
      <c r="D83" s="6" t="s">
        <v>73</v>
      </c>
      <c r="E83" s="33"/>
      <c r="F83" s="33" t="s">
        <v>139</v>
      </c>
      <c r="G83" s="56" t="s">
        <v>139</v>
      </c>
      <c r="H83" s="57">
        <v>6</v>
      </c>
      <c r="I83" s="35">
        <v>30000</v>
      </c>
      <c r="J83" s="58">
        <f t="shared" si="6"/>
        <v>180000</v>
      </c>
      <c r="K83" s="34">
        <v>1</v>
      </c>
      <c r="L83" s="35">
        <v>200000</v>
      </c>
      <c r="M83" s="58">
        <f t="shared" si="7"/>
        <v>200000</v>
      </c>
      <c r="N83" s="36">
        <v>0</v>
      </c>
      <c r="O83" s="36">
        <v>15000</v>
      </c>
      <c r="P83" s="59">
        <v>5000</v>
      </c>
      <c r="Q83" s="60">
        <v>235000</v>
      </c>
      <c r="R83" s="61">
        <v>400000</v>
      </c>
      <c r="S83" s="62">
        <f t="shared" si="8"/>
        <v>165000</v>
      </c>
      <c r="T83" s="1"/>
      <c r="U83" s="1"/>
    </row>
    <row r="84" spans="1:21" ht="24.75">
      <c r="A84" s="1"/>
      <c r="B84" s="28" t="s">
        <v>197</v>
      </c>
      <c r="C84" s="28" t="s">
        <v>198</v>
      </c>
      <c r="D84" s="6" t="s">
        <v>73</v>
      </c>
      <c r="E84" s="33"/>
      <c r="F84" s="33" t="s">
        <v>139</v>
      </c>
      <c r="G84" s="56" t="s">
        <v>139</v>
      </c>
      <c r="H84" s="57">
        <v>10</v>
      </c>
      <c r="I84" s="35">
        <v>30000</v>
      </c>
      <c r="J84" s="58">
        <f t="shared" si="6"/>
        <v>300000</v>
      </c>
      <c r="K84" s="34">
        <v>1</v>
      </c>
      <c r="L84" s="35">
        <v>200000</v>
      </c>
      <c r="M84" s="58">
        <f t="shared" si="7"/>
        <v>200000</v>
      </c>
      <c r="N84" s="36">
        <v>0</v>
      </c>
      <c r="O84" s="36">
        <v>15000</v>
      </c>
      <c r="P84" s="59">
        <v>5000</v>
      </c>
      <c r="Q84" s="60">
        <v>236000</v>
      </c>
      <c r="R84" s="61">
        <v>520000</v>
      </c>
      <c r="S84" s="62">
        <f t="shared" si="8"/>
        <v>284000</v>
      </c>
      <c r="T84" s="1"/>
      <c r="U84" s="1"/>
    </row>
    <row r="85" spans="1:21">
      <c r="A85" s="1"/>
      <c r="B85" s="28" t="s">
        <v>199</v>
      </c>
      <c r="C85" s="28" t="s">
        <v>200</v>
      </c>
      <c r="D85" s="6" t="s">
        <v>73</v>
      </c>
      <c r="E85" s="33"/>
      <c r="F85" s="33" t="s">
        <v>201</v>
      </c>
      <c r="G85" s="56" t="s">
        <v>139</v>
      </c>
      <c r="H85" s="57">
        <v>6</v>
      </c>
      <c r="I85" s="35">
        <v>30000</v>
      </c>
      <c r="J85" s="58">
        <f t="shared" si="6"/>
        <v>180000</v>
      </c>
      <c r="K85" s="34">
        <v>1</v>
      </c>
      <c r="L85" s="35">
        <v>200000</v>
      </c>
      <c r="M85" s="58">
        <f t="shared" si="7"/>
        <v>200000</v>
      </c>
      <c r="N85" s="36">
        <v>0</v>
      </c>
      <c r="O85" s="36">
        <v>15000</v>
      </c>
      <c r="P85" s="59">
        <v>5000</v>
      </c>
      <c r="Q85" s="60">
        <v>237000</v>
      </c>
      <c r="R85" s="61">
        <v>400000</v>
      </c>
      <c r="S85" s="62">
        <f t="shared" si="8"/>
        <v>163000</v>
      </c>
      <c r="T85" s="1"/>
      <c r="U85" s="1"/>
    </row>
    <row r="86" spans="1:21">
      <c r="A86" s="1"/>
      <c r="B86" s="28" t="s">
        <v>165</v>
      </c>
      <c r="C86" s="28" t="s">
        <v>202</v>
      </c>
      <c r="D86" s="6" t="s">
        <v>73</v>
      </c>
      <c r="E86" s="33"/>
      <c r="F86" s="33" t="s">
        <v>201</v>
      </c>
      <c r="G86" s="56" t="s">
        <v>139</v>
      </c>
      <c r="H86" s="57">
        <v>6</v>
      </c>
      <c r="I86" s="35">
        <v>32000</v>
      </c>
      <c r="J86" s="58">
        <f t="shared" si="6"/>
        <v>192000</v>
      </c>
      <c r="K86" s="34">
        <v>1</v>
      </c>
      <c r="L86" s="35">
        <v>200000</v>
      </c>
      <c r="M86" s="58">
        <f t="shared" si="7"/>
        <v>200000</v>
      </c>
      <c r="N86" s="36">
        <v>0</v>
      </c>
      <c r="O86" s="36">
        <v>15000</v>
      </c>
      <c r="P86" s="59">
        <v>5000</v>
      </c>
      <c r="Q86" s="60">
        <v>238000</v>
      </c>
      <c r="R86" s="61">
        <v>412000</v>
      </c>
      <c r="S86" s="62">
        <f t="shared" si="8"/>
        <v>174000</v>
      </c>
      <c r="T86" s="1"/>
      <c r="U86" s="1"/>
    </row>
    <row r="87" spans="1:21" ht="24.75">
      <c r="A87" s="1"/>
      <c r="B87" s="28" t="s">
        <v>203</v>
      </c>
      <c r="C87" s="28" t="s">
        <v>204</v>
      </c>
      <c r="D87" s="6" t="s">
        <v>73</v>
      </c>
      <c r="E87" s="33"/>
      <c r="F87" s="33" t="s">
        <v>201</v>
      </c>
      <c r="G87" s="56" t="s">
        <v>139</v>
      </c>
      <c r="H87" s="57">
        <v>8</v>
      </c>
      <c r="I87" s="35">
        <v>30000</v>
      </c>
      <c r="J87" s="58">
        <f t="shared" si="6"/>
        <v>240000</v>
      </c>
      <c r="K87" s="34">
        <v>1</v>
      </c>
      <c r="L87" s="35">
        <v>150000</v>
      </c>
      <c r="M87" s="58">
        <f t="shared" si="7"/>
        <v>150000</v>
      </c>
      <c r="N87" s="36">
        <v>0</v>
      </c>
      <c r="O87" s="36">
        <v>15000</v>
      </c>
      <c r="P87" s="59">
        <v>5000</v>
      </c>
      <c r="Q87" s="60">
        <v>239000</v>
      </c>
      <c r="R87" s="61">
        <v>410000</v>
      </c>
      <c r="S87" s="62">
        <f t="shared" si="8"/>
        <v>171000</v>
      </c>
      <c r="T87" s="1"/>
      <c r="U87" s="1"/>
    </row>
    <row r="88" spans="1:21">
      <c r="A88" s="1"/>
      <c r="B88" s="28" t="s">
        <v>205</v>
      </c>
      <c r="C88" s="28" t="s">
        <v>206</v>
      </c>
      <c r="D88" s="6" t="s">
        <v>73</v>
      </c>
      <c r="E88" s="33"/>
      <c r="F88" s="33" t="s">
        <v>201</v>
      </c>
      <c r="G88" s="56" t="s">
        <v>139</v>
      </c>
      <c r="H88" s="57">
        <v>6</v>
      </c>
      <c r="I88" s="35">
        <v>30000</v>
      </c>
      <c r="J88" s="58">
        <f t="shared" si="6"/>
        <v>180000</v>
      </c>
      <c r="K88" s="34">
        <v>1</v>
      </c>
      <c r="L88" s="35">
        <v>150000</v>
      </c>
      <c r="M88" s="58">
        <f t="shared" si="7"/>
        <v>150000</v>
      </c>
      <c r="N88" s="36">
        <v>0</v>
      </c>
      <c r="O88" s="36">
        <v>15000</v>
      </c>
      <c r="P88" s="59">
        <v>5000</v>
      </c>
      <c r="Q88" s="60">
        <v>240000</v>
      </c>
      <c r="R88" s="61">
        <v>350000</v>
      </c>
      <c r="S88" s="62">
        <f t="shared" si="8"/>
        <v>110000</v>
      </c>
      <c r="T88" s="1"/>
      <c r="U88" s="1"/>
    </row>
    <row r="89" spans="1:21" ht="24.75">
      <c r="A89" s="1"/>
      <c r="B89" s="28" t="s">
        <v>207</v>
      </c>
      <c r="C89" s="28" t="s">
        <v>208</v>
      </c>
      <c r="D89" s="6" t="s">
        <v>73</v>
      </c>
      <c r="E89" s="33"/>
      <c r="F89" s="33" t="s">
        <v>201</v>
      </c>
      <c r="G89" s="56" t="s">
        <v>139</v>
      </c>
      <c r="H89" s="57">
        <v>5</v>
      </c>
      <c r="I89" s="35">
        <v>30000</v>
      </c>
      <c r="J89" s="58">
        <f t="shared" si="6"/>
        <v>150000</v>
      </c>
      <c r="K89" s="34">
        <v>1</v>
      </c>
      <c r="L89" s="35">
        <v>150000</v>
      </c>
      <c r="M89" s="58">
        <f t="shared" si="7"/>
        <v>150000</v>
      </c>
      <c r="N89" s="36">
        <v>0</v>
      </c>
      <c r="O89" s="36">
        <v>15000</v>
      </c>
      <c r="P89" s="59">
        <v>5000</v>
      </c>
      <c r="Q89" s="60">
        <v>241000</v>
      </c>
      <c r="R89" s="61">
        <v>320000</v>
      </c>
      <c r="S89" s="62">
        <f t="shared" si="8"/>
        <v>79000</v>
      </c>
      <c r="T89" s="1"/>
      <c r="U89" s="1"/>
    </row>
    <row r="90" spans="1:21" ht="24.75">
      <c r="A90" s="1"/>
      <c r="B90" s="28" t="s">
        <v>209</v>
      </c>
      <c r="C90" s="28" t="s">
        <v>210</v>
      </c>
      <c r="D90" s="6" t="s">
        <v>73</v>
      </c>
      <c r="E90" s="33"/>
      <c r="F90" s="33" t="s">
        <v>211</v>
      </c>
      <c r="G90" s="56" t="s">
        <v>139</v>
      </c>
      <c r="H90" s="57">
        <v>5</v>
      </c>
      <c r="I90" s="35">
        <v>20000</v>
      </c>
      <c r="J90" s="58">
        <f t="shared" si="6"/>
        <v>100000</v>
      </c>
      <c r="K90" s="34">
        <v>1</v>
      </c>
      <c r="L90" s="35">
        <v>150000</v>
      </c>
      <c r="M90" s="58">
        <f t="shared" si="7"/>
        <v>150000</v>
      </c>
      <c r="N90" s="36">
        <v>0</v>
      </c>
      <c r="O90" s="36">
        <v>15000</v>
      </c>
      <c r="P90" s="59">
        <v>5000</v>
      </c>
      <c r="Q90" s="60">
        <v>242000</v>
      </c>
      <c r="R90" s="61">
        <v>270000</v>
      </c>
      <c r="S90" s="62">
        <f t="shared" si="8"/>
        <v>28000</v>
      </c>
      <c r="T90" s="1"/>
      <c r="U90" s="1"/>
    </row>
    <row r="91" spans="1:21" ht="24.75">
      <c r="A91" s="1"/>
      <c r="B91" s="28" t="s">
        <v>212</v>
      </c>
      <c r="C91" s="28" t="s">
        <v>213</v>
      </c>
      <c r="D91" s="6" t="s">
        <v>73</v>
      </c>
      <c r="E91" s="33"/>
      <c r="F91" s="33" t="s">
        <v>214</v>
      </c>
      <c r="G91" s="56" t="s">
        <v>139</v>
      </c>
      <c r="H91" s="57">
        <v>6</v>
      </c>
      <c r="I91" s="35">
        <v>20000</v>
      </c>
      <c r="J91" s="58">
        <f t="shared" si="6"/>
        <v>120000</v>
      </c>
      <c r="K91" s="34">
        <v>1</v>
      </c>
      <c r="L91" s="35">
        <v>100000</v>
      </c>
      <c r="M91" s="58">
        <f t="shared" si="7"/>
        <v>100000</v>
      </c>
      <c r="N91" s="36">
        <v>0</v>
      </c>
      <c r="O91" s="36">
        <v>15000</v>
      </c>
      <c r="P91" s="59">
        <v>5000</v>
      </c>
      <c r="Q91" s="60">
        <v>243000</v>
      </c>
      <c r="R91" s="61">
        <v>240000</v>
      </c>
      <c r="S91" s="62">
        <f t="shared" si="8"/>
        <v>-3000</v>
      </c>
      <c r="T91" s="1"/>
      <c r="U91" s="1"/>
    </row>
    <row r="92" spans="1:21" ht="24.75">
      <c r="A92" s="1"/>
      <c r="B92" s="28" t="s">
        <v>215</v>
      </c>
      <c r="C92" s="28" t="s">
        <v>216</v>
      </c>
      <c r="D92" s="6" t="s">
        <v>73</v>
      </c>
      <c r="E92" s="33"/>
      <c r="F92" s="33" t="s">
        <v>217</v>
      </c>
      <c r="G92" s="56" t="s">
        <v>139</v>
      </c>
      <c r="H92" s="57">
        <v>6</v>
      </c>
      <c r="I92" s="35">
        <v>20000</v>
      </c>
      <c r="J92" s="58">
        <f t="shared" si="6"/>
        <v>120000</v>
      </c>
      <c r="K92" s="34">
        <v>1</v>
      </c>
      <c r="L92" s="35">
        <v>100000</v>
      </c>
      <c r="M92" s="58">
        <f t="shared" si="7"/>
        <v>100000</v>
      </c>
      <c r="N92" s="36">
        <v>0</v>
      </c>
      <c r="O92" s="36">
        <v>15000</v>
      </c>
      <c r="P92" s="59">
        <v>5000</v>
      </c>
      <c r="Q92" s="60">
        <v>244000</v>
      </c>
      <c r="R92" s="61">
        <v>240000</v>
      </c>
      <c r="S92" s="62">
        <f t="shared" si="8"/>
        <v>-4000</v>
      </c>
      <c r="T92" s="1"/>
      <c r="U92" s="1"/>
    </row>
    <row r="93" spans="1:21" ht="24.75">
      <c r="A93" s="1"/>
      <c r="B93" s="28" t="s">
        <v>218</v>
      </c>
      <c r="C93" s="28" t="s">
        <v>219</v>
      </c>
      <c r="D93" s="6" t="s">
        <v>73</v>
      </c>
      <c r="E93" s="33"/>
      <c r="F93" s="33" t="s">
        <v>220</v>
      </c>
      <c r="G93" s="56" t="s">
        <v>139</v>
      </c>
      <c r="H93" s="57">
        <v>8</v>
      </c>
      <c r="I93" s="35">
        <v>20000</v>
      </c>
      <c r="J93" s="58">
        <f t="shared" si="6"/>
        <v>160000</v>
      </c>
      <c r="K93" s="34">
        <v>0</v>
      </c>
      <c r="L93" s="35">
        <v>100000</v>
      </c>
      <c r="M93" s="58">
        <f t="shared" si="7"/>
        <v>0</v>
      </c>
      <c r="N93" s="36">
        <v>0</v>
      </c>
      <c r="O93" s="36">
        <v>15000</v>
      </c>
      <c r="P93" s="59">
        <v>5000</v>
      </c>
      <c r="Q93" s="60">
        <v>245000</v>
      </c>
      <c r="R93" s="61">
        <v>180000</v>
      </c>
      <c r="S93" s="62">
        <f t="shared" si="8"/>
        <v>-65000</v>
      </c>
      <c r="T93" s="1"/>
      <c r="U93" s="1"/>
    </row>
    <row r="94" spans="1:21" ht="24.75">
      <c r="A94" s="1"/>
      <c r="B94" s="28" t="s">
        <v>221</v>
      </c>
      <c r="C94" s="28" t="s">
        <v>222</v>
      </c>
      <c r="D94" s="6" t="s">
        <v>73</v>
      </c>
      <c r="E94" s="33"/>
      <c r="F94" s="33" t="s">
        <v>128</v>
      </c>
      <c r="G94" s="56" t="s">
        <v>139</v>
      </c>
      <c r="H94" s="57">
        <v>8</v>
      </c>
      <c r="I94" s="35">
        <v>20000</v>
      </c>
      <c r="J94" s="58">
        <f t="shared" si="6"/>
        <v>160000</v>
      </c>
      <c r="K94" s="34">
        <v>0</v>
      </c>
      <c r="L94" s="35">
        <v>100000</v>
      </c>
      <c r="M94" s="58">
        <f t="shared" si="7"/>
        <v>0</v>
      </c>
      <c r="N94" s="36">
        <v>0</v>
      </c>
      <c r="O94" s="36">
        <v>15000</v>
      </c>
      <c r="P94" s="59">
        <v>5000</v>
      </c>
      <c r="Q94" s="60">
        <v>246000</v>
      </c>
      <c r="R94" s="61">
        <v>180000</v>
      </c>
      <c r="S94" s="62">
        <f t="shared" si="8"/>
        <v>-66000</v>
      </c>
      <c r="T94" s="1"/>
      <c r="U94" s="1"/>
    </row>
    <row r="95" spans="1:21" ht="24.75">
      <c r="A95" s="1"/>
      <c r="B95" s="28" t="s">
        <v>223</v>
      </c>
      <c r="C95" s="28" t="s">
        <v>224</v>
      </c>
      <c r="D95" s="6" t="s">
        <v>73</v>
      </c>
      <c r="E95" s="33"/>
      <c r="F95" s="33" t="s">
        <v>225</v>
      </c>
      <c r="G95" s="56" t="s">
        <v>139</v>
      </c>
      <c r="H95" s="57">
        <v>6</v>
      </c>
      <c r="I95" s="35">
        <v>20000</v>
      </c>
      <c r="J95" s="58">
        <f t="shared" si="6"/>
        <v>120000</v>
      </c>
      <c r="K95" s="34">
        <v>0</v>
      </c>
      <c r="L95" s="35">
        <v>100000</v>
      </c>
      <c r="M95" s="58">
        <f t="shared" si="7"/>
        <v>0</v>
      </c>
      <c r="N95" s="36">
        <v>0</v>
      </c>
      <c r="O95" s="36">
        <v>15000</v>
      </c>
      <c r="P95" s="59">
        <v>5000</v>
      </c>
      <c r="Q95" s="60">
        <v>247000</v>
      </c>
      <c r="R95" s="61">
        <v>140000</v>
      </c>
      <c r="S95" s="62">
        <f t="shared" si="8"/>
        <v>-107000</v>
      </c>
      <c r="T95" s="1"/>
      <c r="U95" s="1"/>
    </row>
    <row r="96" spans="1:21">
      <c r="A96" s="1"/>
      <c r="B96" s="28" t="s">
        <v>226</v>
      </c>
      <c r="C96" s="28" t="s">
        <v>227</v>
      </c>
      <c r="D96" s="6" t="s">
        <v>73</v>
      </c>
      <c r="E96" s="33"/>
      <c r="F96" s="33">
        <v>46028</v>
      </c>
      <c r="G96" s="56" t="s">
        <v>139</v>
      </c>
      <c r="H96" s="57">
        <v>6</v>
      </c>
      <c r="I96" s="35">
        <v>20000</v>
      </c>
      <c r="J96" s="58">
        <f t="shared" si="6"/>
        <v>120000</v>
      </c>
      <c r="K96" s="34">
        <v>0</v>
      </c>
      <c r="L96" s="35">
        <v>100000</v>
      </c>
      <c r="M96" s="58">
        <f t="shared" si="7"/>
        <v>0</v>
      </c>
      <c r="N96" s="36">
        <v>0</v>
      </c>
      <c r="O96" s="36">
        <v>15000</v>
      </c>
      <c r="P96" s="59">
        <v>5000</v>
      </c>
      <c r="Q96" s="60">
        <v>248000</v>
      </c>
      <c r="R96" s="61">
        <v>140000</v>
      </c>
      <c r="S96" s="62">
        <f t="shared" si="8"/>
        <v>-108000</v>
      </c>
      <c r="T96" s="1"/>
      <c r="U96" s="1"/>
    </row>
    <row r="97" spans="1:21" ht="24.75">
      <c r="A97" s="1"/>
      <c r="B97" s="28" t="s">
        <v>228</v>
      </c>
      <c r="C97" s="28" t="s">
        <v>229</v>
      </c>
      <c r="D97" s="6" t="s">
        <v>73</v>
      </c>
      <c r="E97" s="33"/>
      <c r="F97" s="33">
        <v>46059</v>
      </c>
      <c r="G97" s="56" t="s">
        <v>139</v>
      </c>
      <c r="H97" s="57">
        <v>5</v>
      </c>
      <c r="I97" s="35">
        <v>20000</v>
      </c>
      <c r="J97" s="58">
        <f t="shared" si="6"/>
        <v>100000</v>
      </c>
      <c r="K97" s="34">
        <v>0</v>
      </c>
      <c r="L97" s="35">
        <v>100000</v>
      </c>
      <c r="M97" s="58">
        <f t="shared" si="7"/>
        <v>0</v>
      </c>
      <c r="N97" s="36">
        <v>0</v>
      </c>
      <c r="O97" s="36">
        <v>15000</v>
      </c>
      <c r="P97" s="59">
        <v>5000</v>
      </c>
      <c r="Q97" s="60">
        <v>249000</v>
      </c>
      <c r="R97" s="61">
        <v>120000</v>
      </c>
      <c r="S97" s="62">
        <f t="shared" si="8"/>
        <v>-129000</v>
      </c>
      <c r="T97" s="1"/>
      <c r="U97" s="1"/>
    </row>
    <row r="98" spans="1:21" ht="24.75">
      <c r="A98" s="1"/>
      <c r="B98" s="28" t="s">
        <v>230</v>
      </c>
      <c r="C98" s="28" t="s">
        <v>231</v>
      </c>
      <c r="D98" s="6" t="s">
        <v>73</v>
      </c>
      <c r="E98" s="33"/>
      <c r="F98" s="33">
        <v>46087</v>
      </c>
      <c r="G98" s="56" t="s">
        <v>139</v>
      </c>
      <c r="H98" s="57">
        <v>5</v>
      </c>
      <c r="I98" s="35">
        <v>20000</v>
      </c>
      <c r="J98" s="58">
        <f t="shared" si="6"/>
        <v>100000</v>
      </c>
      <c r="K98" s="34">
        <v>0</v>
      </c>
      <c r="L98" s="35">
        <v>100000</v>
      </c>
      <c r="M98" s="58">
        <f t="shared" si="7"/>
        <v>0</v>
      </c>
      <c r="N98" s="36">
        <v>0</v>
      </c>
      <c r="O98" s="36">
        <v>15000</v>
      </c>
      <c r="P98" s="59">
        <v>5000</v>
      </c>
      <c r="Q98" s="60">
        <v>250000</v>
      </c>
      <c r="R98" s="61">
        <v>120000</v>
      </c>
      <c r="S98" s="62">
        <f t="shared" si="8"/>
        <v>-130000</v>
      </c>
      <c r="T98" s="1"/>
      <c r="U98" s="1"/>
    </row>
    <row r="99" spans="1:21">
      <c r="A99" s="1"/>
      <c r="B99" s="28" t="s">
        <v>199</v>
      </c>
      <c r="C99" s="28" t="s">
        <v>232</v>
      </c>
      <c r="D99" s="6" t="s">
        <v>73</v>
      </c>
      <c r="E99" s="33"/>
      <c r="F99" s="33">
        <v>46118</v>
      </c>
      <c r="G99" s="56" t="s">
        <v>139</v>
      </c>
      <c r="H99" s="57">
        <v>5</v>
      </c>
      <c r="I99" s="35">
        <v>20000</v>
      </c>
      <c r="J99" s="58">
        <f t="shared" si="6"/>
        <v>100000</v>
      </c>
      <c r="K99" s="34">
        <v>0</v>
      </c>
      <c r="L99" s="35">
        <v>100000</v>
      </c>
      <c r="M99" s="58">
        <f t="shared" si="7"/>
        <v>0</v>
      </c>
      <c r="N99" s="36">
        <v>0</v>
      </c>
      <c r="O99" s="36">
        <v>15000</v>
      </c>
      <c r="P99" s="59">
        <v>5000</v>
      </c>
      <c r="Q99" s="60">
        <v>251000</v>
      </c>
      <c r="R99" s="61">
        <v>120000</v>
      </c>
      <c r="S99" s="62">
        <f t="shared" si="8"/>
        <v>-131000</v>
      </c>
      <c r="T99" s="1"/>
      <c r="U99" s="1"/>
    </row>
    <row r="100" spans="1:21" ht="24.75">
      <c r="A100" s="1"/>
      <c r="B100" s="28" t="s">
        <v>197</v>
      </c>
      <c r="C100" s="28" t="s">
        <v>233</v>
      </c>
      <c r="D100" s="6" t="s">
        <v>73</v>
      </c>
      <c r="E100" s="33"/>
      <c r="F100" s="33">
        <v>46148</v>
      </c>
      <c r="G100" s="56" t="s">
        <v>139</v>
      </c>
      <c r="H100" s="57">
        <v>6</v>
      </c>
      <c r="I100" s="35">
        <v>20000</v>
      </c>
      <c r="J100" s="58">
        <f t="shared" si="6"/>
        <v>120000</v>
      </c>
      <c r="K100" s="34">
        <v>0</v>
      </c>
      <c r="L100" s="35">
        <v>100000</v>
      </c>
      <c r="M100" s="58">
        <f t="shared" si="7"/>
        <v>0</v>
      </c>
      <c r="N100" s="36">
        <v>0</v>
      </c>
      <c r="O100" s="36">
        <v>15000</v>
      </c>
      <c r="P100" s="59">
        <v>5000</v>
      </c>
      <c r="Q100" s="60">
        <v>252000</v>
      </c>
      <c r="R100" s="61">
        <v>140000</v>
      </c>
      <c r="S100" s="62">
        <f t="shared" si="8"/>
        <v>-112000</v>
      </c>
      <c r="T100" s="1"/>
      <c r="U100" s="1"/>
    </row>
    <row r="101" spans="1:21" ht="24.75">
      <c r="A101" s="1"/>
      <c r="B101" s="28" t="s">
        <v>234</v>
      </c>
      <c r="C101" s="28" t="s">
        <v>235</v>
      </c>
      <c r="D101" s="6" t="s">
        <v>73</v>
      </c>
      <c r="E101" s="33"/>
      <c r="F101" s="33">
        <v>46179</v>
      </c>
      <c r="G101" s="56" t="s">
        <v>139</v>
      </c>
      <c r="H101" s="57">
        <v>6</v>
      </c>
      <c r="I101" s="35">
        <v>25000</v>
      </c>
      <c r="J101" s="58">
        <f t="shared" si="6"/>
        <v>150000</v>
      </c>
      <c r="K101" s="34">
        <v>0</v>
      </c>
      <c r="L101" s="35">
        <v>100000</v>
      </c>
      <c r="M101" s="58">
        <f t="shared" si="7"/>
        <v>0</v>
      </c>
      <c r="N101" s="36">
        <v>0</v>
      </c>
      <c r="O101" s="36">
        <v>15000</v>
      </c>
      <c r="P101" s="59">
        <v>5000</v>
      </c>
      <c r="Q101" s="60">
        <v>253000</v>
      </c>
      <c r="R101" s="61">
        <v>170000</v>
      </c>
      <c r="S101" s="62">
        <f t="shared" si="8"/>
        <v>-83000</v>
      </c>
      <c r="T101" s="1"/>
      <c r="U101" s="1"/>
    </row>
    <row r="102" spans="1:21" ht="24.75">
      <c r="A102" s="1"/>
      <c r="B102" s="28" t="s">
        <v>236</v>
      </c>
      <c r="C102" s="28" t="s">
        <v>61</v>
      </c>
      <c r="D102" s="6" t="s">
        <v>73</v>
      </c>
      <c r="E102" s="33"/>
      <c r="F102" s="33">
        <v>46209</v>
      </c>
      <c r="G102" s="56" t="s">
        <v>139</v>
      </c>
      <c r="H102" s="57">
        <v>5</v>
      </c>
      <c r="I102" s="35">
        <v>25000</v>
      </c>
      <c r="J102" s="58">
        <f t="shared" si="6"/>
        <v>125000</v>
      </c>
      <c r="K102" s="34">
        <v>0</v>
      </c>
      <c r="L102" s="35">
        <v>100000</v>
      </c>
      <c r="M102" s="58">
        <f t="shared" si="7"/>
        <v>0</v>
      </c>
      <c r="N102" s="36">
        <v>0</v>
      </c>
      <c r="O102" s="36">
        <v>15000</v>
      </c>
      <c r="P102" s="59">
        <v>5000</v>
      </c>
      <c r="Q102" s="60">
        <v>254000</v>
      </c>
      <c r="R102" s="61">
        <v>145000</v>
      </c>
      <c r="S102" s="62">
        <f t="shared" si="8"/>
        <v>-109000</v>
      </c>
      <c r="T102" s="1"/>
      <c r="U102" s="1"/>
    </row>
    <row r="103" spans="1:21">
      <c r="A103" s="1"/>
      <c r="B103" s="28" t="s">
        <v>237</v>
      </c>
      <c r="C103" s="28" t="s">
        <v>238</v>
      </c>
      <c r="D103" s="6" t="s">
        <v>73</v>
      </c>
      <c r="E103" s="33"/>
      <c r="F103" s="33">
        <v>46240</v>
      </c>
      <c r="G103" s="56" t="s">
        <v>139</v>
      </c>
      <c r="H103" s="57">
        <v>4</v>
      </c>
      <c r="I103" s="35">
        <v>20000</v>
      </c>
      <c r="J103" s="58">
        <f t="shared" si="6"/>
        <v>80000</v>
      </c>
      <c r="K103" s="34">
        <v>1</v>
      </c>
      <c r="L103" s="35">
        <v>150000</v>
      </c>
      <c r="M103" s="58">
        <f t="shared" si="7"/>
        <v>150000</v>
      </c>
      <c r="N103" s="36">
        <v>0</v>
      </c>
      <c r="O103" s="36">
        <v>15000</v>
      </c>
      <c r="P103" s="59">
        <v>5000</v>
      </c>
      <c r="Q103" s="60">
        <v>255000</v>
      </c>
      <c r="R103" s="61">
        <v>250000</v>
      </c>
      <c r="S103" s="62">
        <f t="shared" si="8"/>
        <v>-5000</v>
      </c>
      <c r="T103" s="1"/>
      <c r="U103" s="1"/>
    </row>
    <row r="104" spans="1:21" ht="24.75">
      <c r="A104" s="1"/>
      <c r="B104" s="28" t="s">
        <v>239</v>
      </c>
      <c r="C104" s="28" t="s">
        <v>240</v>
      </c>
      <c r="D104" s="6" t="s">
        <v>73</v>
      </c>
      <c r="E104" s="33"/>
      <c r="F104" s="33">
        <v>46271</v>
      </c>
      <c r="G104" s="56" t="s">
        <v>139</v>
      </c>
      <c r="H104" s="57">
        <v>6</v>
      </c>
      <c r="I104" s="35">
        <v>20000</v>
      </c>
      <c r="J104" s="58">
        <f t="shared" si="6"/>
        <v>120000</v>
      </c>
      <c r="K104" s="34">
        <v>0</v>
      </c>
      <c r="L104" s="35">
        <v>100000</v>
      </c>
      <c r="M104" s="58">
        <f t="shared" si="7"/>
        <v>0</v>
      </c>
      <c r="N104" s="36">
        <v>0</v>
      </c>
      <c r="O104" s="36">
        <v>15000</v>
      </c>
      <c r="P104" s="59">
        <v>5000</v>
      </c>
      <c r="Q104" s="60">
        <v>256000</v>
      </c>
      <c r="R104" s="61">
        <v>140000</v>
      </c>
      <c r="S104" s="62">
        <f t="shared" si="8"/>
        <v>-116000</v>
      </c>
      <c r="T104" s="1"/>
      <c r="U104" s="1"/>
    </row>
    <row r="105" spans="1:21" ht="24.75">
      <c r="A105" s="1"/>
      <c r="B105" s="28" t="s">
        <v>241</v>
      </c>
      <c r="C105" s="28" t="s">
        <v>242</v>
      </c>
      <c r="D105" s="6" t="s">
        <v>73</v>
      </c>
      <c r="E105" s="33"/>
      <c r="F105" s="33">
        <v>46301</v>
      </c>
      <c r="G105" s="56">
        <v>46130</v>
      </c>
      <c r="H105" s="57">
        <v>3</v>
      </c>
      <c r="I105" s="35">
        <v>35000</v>
      </c>
      <c r="J105" s="58">
        <f t="shared" si="6"/>
        <v>105000</v>
      </c>
      <c r="K105" s="34">
        <v>1</v>
      </c>
      <c r="L105" s="35">
        <v>50000</v>
      </c>
      <c r="M105" s="58">
        <f t="shared" si="7"/>
        <v>50000</v>
      </c>
      <c r="N105" s="36">
        <v>0</v>
      </c>
      <c r="O105" s="36">
        <v>15000</v>
      </c>
      <c r="P105" s="59">
        <v>5000</v>
      </c>
      <c r="Q105" s="60">
        <v>257000</v>
      </c>
      <c r="R105" s="61">
        <v>175000</v>
      </c>
      <c r="S105" s="62">
        <f t="shared" si="8"/>
        <v>-82000</v>
      </c>
      <c r="T105" s="1"/>
      <c r="U105" s="1"/>
    </row>
    <row r="106" spans="1:21" ht="24.75">
      <c r="A106" s="1"/>
      <c r="B106" s="28" t="s">
        <v>243</v>
      </c>
      <c r="C106" s="28" t="s">
        <v>244</v>
      </c>
      <c r="D106" s="6" t="s">
        <v>73</v>
      </c>
      <c r="E106" s="33"/>
      <c r="F106" s="33">
        <v>46332</v>
      </c>
      <c r="G106" s="56">
        <v>46130</v>
      </c>
      <c r="H106" s="57">
        <v>6</v>
      </c>
      <c r="I106" s="35">
        <v>18000</v>
      </c>
      <c r="J106" s="58">
        <f t="shared" si="6"/>
        <v>108000</v>
      </c>
      <c r="K106" s="34">
        <v>1</v>
      </c>
      <c r="L106" s="35">
        <v>50000</v>
      </c>
      <c r="M106" s="58">
        <f t="shared" si="7"/>
        <v>50000</v>
      </c>
      <c r="N106" s="36">
        <v>0</v>
      </c>
      <c r="O106" s="36">
        <v>15000</v>
      </c>
      <c r="P106" s="59">
        <v>5000</v>
      </c>
      <c r="Q106" s="60">
        <v>258000</v>
      </c>
      <c r="R106" s="61">
        <v>178000</v>
      </c>
      <c r="S106" s="62">
        <f t="shared" si="8"/>
        <v>-80000</v>
      </c>
      <c r="T106" s="1"/>
      <c r="U106" s="1"/>
    </row>
    <row r="107" spans="1:21" ht="24.75">
      <c r="A107" s="1"/>
      <c r="B107" s="28" t="s">
        <v>245</v>
      </c>
      <c r="C107" s="28" t="s">
        <v>246</v>
      </c>
      <c r="D107" s="6" t="s">
        <v>73</v>
      </c>
      <c r="E107" s="33"/>
      <c r="F107" s="33">
        <v>46362</v>
      </c>
      <c r="G107" s="56">
        <v>46130</v>
      </c>
      <c r="H107" s="57">
        <v>6</v>
      </c>
      <c r="I107" s="35">
        <v>18000</v>
      </c>
      <c r="J107" s="58">
        <f t="shared" si="6"/>
        <v>108000</v>
      </c>
      <c r="K107" s="34">
        <v>1</v>
      </c>
      <c r="L107" s="35">
        <v>50000</v>
      </c>
      <c r="M107" s="58">
        <f t="shared" si="7"/>
        <v>50000</v>
      </c>
      <c r="N107" s="36">
        <v>0</v>
      </c>
      <c r="O107" s="36">
        <v>15000</v>
      </c>
      <c r="P107" s="59">
        <v>5000</v>
      </c>
      <c r="Q107" s="60">
        <v>259000</v>
      </c>
      <c r="R107" s="61">
        <v>178000</v>
      </c>
      <c r="S107" s="62">
        <f t="shared" si="8"/>
        <v>-81000</v>
      </c>
      <c r="T107" s="1"/>
      <c r="U107" s="1"/>
    </row>
    <row r="108" spans="1:21" ht="24.75">
      <c r="A108" s="1"/>
      <c r="B108" s="28" t="s">
        <v>247</v>
      </c>
      <c r="C108" s="28" t="s">
        <v>248</v>
      </c>
      <c r="D108" s="6" t="s">
        <v>73</v>
      </c>
      <c r="E108" s="33"/>
      <c r="F108" s="33" t="s">
        <v>139</v>
      </c>
      <c r="G108" s="56">
        <v>46130</v>
      </c>
      <c r="H108" s="57">
        <v>5</v>
      </c>
      <c r="I108" s="35">
        <v>18000</v>
      </c>
      <c r="J108" s="58">
        <f t="shared" si="6"/>
        <v>90000</v>
      </c>
      <c r="K108" s="34">
        <v>1</v>
      </c>
      <c r="L108" s="35">
        <v>50000</v>
      </c>
      <c r="M108" s="58">
        <f t="shared" si="7"/>
        <v>50000</v>
      </c>
      <c r="N108" s="36">
        <v>0</v>
      </c>
      <c r="O108" s="36">
        <v>15000</v>
      </c>
      <c r="P108" s="59">
        <v>5000</v>
      </c>
      <c r="Q108" s="60">
        <v>260000</v>
      </c>
      <c r="R108" s="61">
        <v>160000</v>
      </c>
      <c r="S108" s="62">
        <f t="shared" si="8"/>
        <v>-100000</v>
      </c>
      <c r="T108" s="1"/>
      <c r="U108" s="1"/>
    </row>
    <row r="109" spans="1:21">
      <c r="A109" s="1"/>
      <c r="B109" s="28" t="s">
        <v>249</v>
      </c>
      <c r="C109" s="28" t="s">
        <v>250</v>
      </c>
      <c r="D109" s="6" t="s">
        <v>73</v>
      </c>
      <c r="E109" s="33"/>
      <c r="F109" s="33" t="s">
        <v>251</v>
      </c>
      <c r="G109" s="56">
        <v>46130</v>
      </c>
      <c r="H109" s="57">
        <v>6</v>
      </c>
      <c r="I109" s="35">
        <v>18000</v>
      </c>
      <c r="J109" s="58">
        <f t="shared" si="6"/>
        <v>108000</v>
      </c>
      <c r="K109" s="34">
        <v>0</v>
      </c>
      <c r="L109" s="35">
        <v>50000</v>
      </c>
      <c r="M109" s="58">
        <f t="shared" si="7"/>
        <v>0</v>
      </c>
      <c r="N109" s="36">
        <v>0</v>
      </c>
      <c r="O109" s="36">
        <v>15000</v>
      </c>
      <c r="P109" s="59">
        <v>5000</v>
      </c>
      <c r="Q109" s="60">
        <v>261000</v>
      </c>
      <c r="R109" s="61">
        <v>128000</v>
      </c>
      <c r="S109" s="62">
        <f t="shared" si="8"/>
        <v>-133000</v>
      </c>
      <c r="T109" s="1"/>
      <c r="U109" s="1"/>
    </row>
    <row r="110" spans="1:21" ht="24.75">
      <c r="A110" s="1"/>
      <c r="B110" s="28" t="s">
        <v>252</v>
      </c>
      <c r="C110" s="28" t="s">
        <v>253</v>
      </c>
      <c r="D110" s="6" t="s">
        <v>73</v>
      </c>
      <c r="E110" s="33"/>
      <c r="F110" s="33" t="s">
        <v>254</v>
      </c>
      <c r="G110" s="56">
        <v>46130</v>
      </c>
      <c r="H110" s="57">
        <v>8</v>
      </c>
      <c r="I110" s="35">
        <v>18000</v>
      </c>
      <c r="J110" s="58">
        <f t="shared" si="6"/>
        <v>144000</v>
      </c>
      <c r="K110" s="34">
        <v>0</v>
      </c>
      <c r="L110" s="35">
        <v>50000</v>
      </c>
      <c r="M110" s="58">
        <f t="shared" si="7"/>
        <v>0</v>
      </c>
      <c r="N110" s="36">
        <v>0</v>
      </c>
      <c r="O110" s="36">
        <v>15000</v>
      </c>
      <c r="P110" s="59">
        <v>5000</v>
      </c>
      <c r="Q110" s="60">
        <v>262000</v>
      </c>
      <c r="R110" s="61">
        <v>164000</v>
      </c>
      <c r="S110" s="62">
        <f t="shared" si="8"/>
        <v>-98000</v>
      </c>
      <c r="T110" s="1"/>
      <c r="U110" s="1"/>
    </row>
    <row r="111" spans="1:21" ht="24.75">
      <c r="A111" s="1"/>
      <c r="B111" s="28" t="s">
        <v>255</v>
      </c>
      <c r="C111" s="28" t="s">
        <v>256</v>
      </c>
      <c r="D111" s="6" t="s">
        <v>73</v>
      </c>
      <c r="E111" s="33"/>
      <c r="F111" s="33" t="s">
        <v>257</v>
      </c>
      <c r="G111" s="56">
        <v>46130</v>
      </c>
      <c r="H111" s="57">
        <v>6</v>
      </c>
      <c r="I111" s="35">
        <v>18000</v>
      </c>
      <c r="J111" s="58">
        <f t="shared" si="6"/>
        <v>108000</v>
      </c>
      <c r="K111" s="34">
        <v>0</v>
      </c>
      <c r="L111" s="35">
        <v>50000</v>
      </c>
      <c r="M111" s="58">
        <f t="shared" si="7"/>
        <v>0</v>
      </c>
      <c r="N111" s="36">
        <v>0</v>
      </c>
      <c r="O111" s="36">
        <v>15000</v>
      </c>
      <c r="P111" s="59">
        <v>5000</v>
      </c>
      <c r="Q111" s="60">
        <v>263000</v>
      </c>
      <c r="R111" s="61">
        <v>128000</v>
      </c>
      <c r="S111" s="62">
        <f t="shared" si="8"/>
        <v>-135000</v>
      </c>
      <c r="T111" s="1"/>
      <c r="U111" s="1"/>
    </row>
    <row r="112" spans="1:21" ht="24.75">
      <c r="A112" s="1"/>
      <c r="B112" s="28" t="s">
        <v>258</v>
      </c>
      <c r="C112" s="28" t="s">
        <v>259</v>
      </c>
      <c r="D112" s="6" t="s">
        <v>73</v>
      </c>
      <c r="E112" s="33"/>
      <c r="F112" s="33" t="s">
        <v>260</v>
      </c>
      <c r="G112" s="56">
        <v>46130</v>
      </c>
      <c r="H112" s="57">
        <v>4</v>
      </c>
      <c r="I112" s="35">
        <v>18000</v>
      </c>
      <c r="J112" s="58">
        <f t="shared" si="6"/>
        <v>72000</v>
      </c>
      <c r="K112" s="34">
        <v>0</v>
      </c>
      <c r="L112" s="35">
        <v>50000</v>
      </c>
      <c r="M112" s="58">
        <f t="shared" si="7"/>
        <v>0</v>
      </c>
      <c r="N112" s="36">
        <v>0</v>
      </c>
      <c r="O112" s="36">
        <v>15000</v>
      </c>
      <c r="P112" s="59">
        <v>5000</v>
      </c>
      <c r="Q112" s="60">
        <v>264000</v>
      </c>
      <c r="R112" s="61">
        <v>92000</v>
      </c>
      <c r="S112" s="62">
        <f t="shared" si="8"/>
        <v>-172000</v>
      </c>
      <c r="T112" s="1"/>
      <c r="U112" s="1"/>
    </row>
    <row r="113" spans="1:21" ht="24.75">
      <c r="A113" s="1"/>
      <c r="B113" s="28" t="s">
        <v>261</v>
      </c>
      <c r="C113" s="28" t="s">
        <v>262</v>
      </c>
      <c r="D113" s="6" t="s">
        <v>73</v>
      </c>
      <c r="E113" s="33"/>
      <c r="F113" s="33" t="s">
        <v>263</v>
      </c>
      <c r="G113" s="56">
        <v>46130</v>
      </c>
      <c r="H113" s="57">
        <v>5</v>
      </c>
      <c r="I113" s="35">
        <v>20000</v>
      </c>
      <c r="J113" s="58">
        <f t="shared" si="6"/>
        <v>100000</v>
      </c>
      <c r="K113" s="34">
        <v>1</v>
      </c>
      <c r="L113" s="35">
        <v>50000</v>
      </c>
      <c r="M113" s="58">
        <f t="shared" si="7"/>
        <v>50000</v>
      </c>
      <c r="N113" s="36">
        <v>0</v>
      </c>
      <c r="O113" s="36">
        <v>15000</v>
      </c>
      <c r="P113" s="59">
        <v>0</v>
      </c>
      <c r="Q113" s="60">
        <v>265000</v>
      </c>
      <c r="R113" s="61">
        <v>115000</v>
      </c>
      <c r="S113" s="62">
        <f t="shared" si="8"/>
        <v>-150000</v>
      </c>
      <c r="T113" s="1"/>
      <c r="U113" s="1"/>
    </row>
    <row r="114" spans="1:21" ht="24.75">
      <c r="A114" s="1"/>
      <c r="B114" s="28" t="s">
        <v>264</v>
      </c>
      <c r="C114" s="28" t="s">
        <v>265</v>
      </c>
      <c r="D114" s="6" t="s">
        <v>73</v>
      </c>
      <c r="E114" s="33"/>
      <c r="F114" s="33" t="s">
        <v>266</v>
      </c>
      <c r="G114" s="56">
        <v>46130</v>
      </c>
      <c r="H114" s="57">
        <v>3</v>
      </c>
      <c r="I114" s="35">
        <v>0</v>
      </c>
      <c r="J114" s="58">
        <f t="shared" ref="J114" si="9">H114*I114</f>
        <v>0</v>
      </c>
      <c r="K114" s="34">
        <v>1</v>
      </c>
      <c r="L114" s="35">
        <v>0</v>
      </c>
      <c r="M114" s="58">
        <f t="shared" ref="M114" si="10">K114*L114</f>
        <v>0</v>
      </c>
      <c r="N114" s="36">
        <v>0</v>
      </c>
      <c r="O114" s="36">
        <v>15000</v>
      </c>
      <c r="P114" s="59">
        <v>0</v>
      </c>
      <c r="Q114" s="60">
        <v>266000</v>
      </c>
      <c r="R114" s="61">
        <v>15000</v>
      </c>
      <c r="S114" s="62">
        <f t="shared" ref="S114" si="11">R114-Q114</f>
        <v>-251000</v>
      </c>
      <c r="T114" s="1"/>
      <c r="U114" s="1"/>
    </row>
    <row r="115" spans="1:21">
      <c r="A115" s="1"/>
      <c r="B115" s="68" t="s">
        <v>267</v>
      </c>
      <c r="C115" s="11"/>
      <c r="D115" s="29"/>
      <c r="E115" s="12"/>
      <c r="F115" s="12"/>
      <c r="G115" s="48"/>
      <c r="H115" s="40"/>
      <c r="I115" s="30"/>
      <c r="J115" s="32">
        <f>SUM(J5:J13)</f>
        <v>875000</v>
      </c>
      <c r="K115" s="32"/>
      <c r="L115" s="32"/>
      <c r="M115" s="32">
        <f>SUM(M5:M13)</f>
        <v>0</v>
      </c>
      <c r="N115" s="32">
        <f>SUM(N5:N13)</f>
        <v>0</v>
      </c>
      <c r="O115" s="32">
        <f>SUM(O5:O13)</f>
        <v>145000</v>
      </c>
      <c r="P115" s="38">
        <f>SUM(P5:P13)</f>
        <v>55000</v>
      </c>
      <c r="Q115" s="45">
        <f>SUM(Q5:Q13)</f>
        <v>2144000</v>
      </c>
      <c r="R115" s="42">
        <f>SUM(J115:P115)</f>
        <v>1075000</v>
      </c>
      <c r="S115" s="42">
        <f>R115-Q115</f>
        <v>-1069000</v>
      </c>
      <c r="T115" s="1"/>
      <c r="U115" s="1"/>
    </row>
    <row r="116" spans="1:21">
      <c r="S116" s="1"/>
      <c r="T116" s="1"/>
      <c r="U116" s="1"/>
    </row>
    <row r="117" spans="1:2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</sheetData>
  <mergeCells count="4">
    <mergeCell ref="H2:J2"/>
    <mergeCell ref="K2:M2"/>
    <mergeCell ref="N2:P2"/>
    <mergeCell ref="Q2:S2"/>
  </mergeCells>
  <conditionalFormatting sqref="D4:D114">
    <cfRule type="containsText" dxfId="26" priority="24" operator="containsText" text="Approved">
      <formula>NOT(ISERROR(SEARCH("Approved",D4)))</formula>
    </cfRule>
    <cfRule type="containsText" dxfId="25" priority="25" operator="containsText" text="Needs Review">
      <formula>NOT(ISERROR(SEARCH("Needs Review",D4)))</formula>
    </cfRule>
    <cfRule type="containsText" dxfId="24" priority="26" operator="containsText" text="Not Started">
      <formula>NOT(ISERROR(SEARCH("Not Started",D4)))</formula>
    </cfRule>
    <cfRule type="containsText" dxfId="23" priority="27" operator="containsText" text="On Hold">
      <formula>NOT(ISERROR(SEARCH("On Hold",D4)))</formula>
    </cfRule>
    <cfRule type="containsText" dxfId="22" priority="28" operator="containsText" text="Overdue">
      <formula>NOT(ISERROR(SEARCH("Overdue",D4)))</formula>
    </cfRule>
    <cfRule type="containsText" dxfId="21" priority="29" operator="containsText" text="Complete">
      <formula>NOT(ISERROR(SEARCH("Complete",D4)))</formula>
    </cfRule>
    <cfRule type="containsText" dxfId="20" priority="30" operator="containsText" text="In Progress">
      <formula>NOT(ISERROR(SEARCH("In Progress",D4)))</formula>
    </cfRule>
  </conditionalFormatting>
  <conditionalFormatting sqref="D5:D114">
    <cfRule type="cellIs" dxfId="19" priority="16" operator="equal">
      <formula>"No Iniciado"</formula>
    </cfRule>
    <cfRule type="cellIs" dxfId="18" priority="17" operator="equal">
      <formula>"Aprobado"</formula>
    </cfRule>
    <cfRule type="cellIs" dxfId="17" priority="18" operator="equal">
      <formula>"En Espera"</formula>
    </cfRule>
    <cfRule type="cellIs" dxfId="16" priority="19" operator="equal">
      <formula>"Atrasado"</formula>
    </cfRule>
    <cfRule type="cellIs" dxfId="15" priority="20" operator="equal">
      <formula>"Aprovado"</formula>
    </cfRule>
    <cfRule type="cellIs" dxfId="14" priority="21" operator="equal">
      <formula>"Requiere Revisión"</formula>
    </cfRule>
    <cfRule type="cellIs" dxfId="13" priority="22" operator="equal">
      <formula>"En Progreso"</formula>
    </cfRule>
    <cfRule type="cellIs" dxfId="12" priority="23" operator="equal">
      <formula>"Completo"</formula>
    </cfRule>
  </conditionalFormatting>
  <conditionalFormatting sqref="S5:S115">
    <cfRule type="cellIs" dxfId="11" priority="44" operator="lessThan">
      <formula>0</formula>
    </cfRule>
    <cfRule type="cellIs" dxfId="10" priority="45" operator="greaterThan">
      <formula>0</formula>
    </cfRule>
  </conditionalFormatting>
  <pageMargins left="0.3" right="0.3" top="0.3" bottom="0.3" header="0" footer="0"/>
  <pageSetup scale="63" fitToHeight="0" orientation="landscape" horizontalDpi="4294967292" verticalDpi="4294967292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314EDA-12D6-2749-B3F6-EF76459AD42E}">
          <x14:formula1>
            <xm:f>'listas desplegables'!$F$3:$F$11</xm:f>
          </x14:formula1>
          <xm:sqref>D4:D114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F1A8-FE55-D44A-A80C-197932E0CA85}">
  <sheetPr>
    <tabColor theme="0" tint="-0.249977111117893"/>
  </sheetPr>
  <dimension ref="A1:AF61"/>
  <sheetViews>
    <sheetView showGridLines="0" workbookViewId="0">
      <selection activeCell="I3" sqref="I3"/>
    </sheetView>
  </sheetViews>
  <sheetFormatPr defaultColWidth="11" defaultRowHeight="15.75"/>
  <cols>
    <col min="1" max="1" width="3.375" style="5" customWidth="1"/>
    <col min="2" max="2" width="10.875" style="5"/>
    <col min="3" max="3" width="3.375" style="5" customWidth="1"/>
    <col min="5" max="5" width="3.375" style="5" customWidth="1"/>
    <col min="6" max="6" width="12.875" customWidth="1"/>
    <col min="7" max="7" width="3.375" style="5" customWidth="1"/>
  </cols>
  <sheetData>
    <row r="1" spans="1:32" s="5" customFormat="1" ht="42" customHeight="1" thickBot="1">
      <c r="B1" s="24" t="s">
        <v>268</v>
      </c>
      <c r="C1" s="3"/>
      <c r="D1" s="3"/>
      <c r="E1" s="3"/>
      <c r="F1" s="3"/>
      <c r="G1" s="3"/>
      <c r="H1" s="3"/>
      <c r="I1" s="3"/>
      <c r="J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24.95" customHeight="1" thickTop="1">
      <c r="A2" s="4"/>
      <c r="B2" s="23" t="s">
        <v>269</v>
      </c>
      <c r="C2" s="4"/>
      <c r="D2" s="23" t="s">
        <v>270</v>
      </c>
      <c r="E2" s="4"/>
      <c r="F2" s="23" t="s">
        <v>8</v>
      </c>
      <c r="G2" s="4"/>
    </row>
    <row r="3" spans="1:32" ht="35.1" customHeight="1">
      <c r="A3" s="4"/>
      <c r="B3" s="22" t="s">
        <v>271</v>
      </c>
      <c r="C3" s="4"/>
      <c r="D3" s="21" t="s">
        <v>272</v>
      </c>
      <c r="E3" s="4"/>
      <c r="F3" s="63" t="s">
        <v>73</v>
      </c>
      <c r="G3" s="4"/>
    </row>
    <row r="4" spans="1:32" ht="35.1" customHeight="1">
      <c r="A4" s="4"/>
      <c r="B4" s="20" t="s">
        <v>273</v>
      </c>
      <c r="C4" s="4"/>
      <c r="D4" s="19" t="s">
        <v>274</v>
      </c>
      <c r="E4" s="4"/>
      <c r="F4" s="64" t="s">
        <v>275</v>
      </c>
      <c r="G4" s="4"/>
    </row>
    <row r="5" spans="1:32" ht="35.1" customHeight="1">
      <c r="A5" s="4"/>
      <c r="C5" s="4"/>
      <c r="D5" s="18" t="s">
        <v>276</v>
      </c>
      <c r="E5" s="4"/>
      <c r="F5" s="65" t="s">
        <v>27</v>
      </c>
      <c r="G5" s="4"/>
    </row>
    <row r="6" spans="1:32" ht="35.1" customHeight="1">
      <c r="A6" s="4"/>
      <c r="C6" s="4"/>
      <c r="D6" s="14"/>
      <c r="E6" s="4"/>
      <c r="F6" s="17" t="s">
        <v>277</v>
      </c>
      <c r="G6" s="4"/>
    </row>
    <row r="7" spans="1:32" ht="35.1" customHeight="1">
      <c r="A7" s="4"/>
      <c r="C7" s="4"/>
      <c r="D7" s="14"/>
      <c r="E7" s="4"/>
      <c r="F7" s="16" t="s">
        <v>278</v>
      </c>
      <c r="G7" s="4"/>
    </row>
    <row r="8" spans="1:32" ht="35.1" customHeight="1">
      <c r="A8" s="4"/>
      <c r="C8" s="4"/>
      <c r="E8" s="4"/>
      <c r="F8" s="8" t="s">
        <v>279</v>
      </c>
      <c r="G8" s="4"/>
    </row>
    <row r="9" spans="1:32" ht="35.1" customHeight="1">
      <c r="A9" s="4"/>
      <c r="B9" s="4"/>
      <c r="C9" s="4"/>
      <c r="E9" s="4"/>
      <c r="F9" s="15" t="s">
        <v>280</v>
      </c>
      <c r="G9" s="4"/>
    </row>
    <row r="10" spans="1:32" ht="35.1" customHeight="1">
      <c r="A10" s="4"/>
      <c r="B10" s="4"/>
      <c r="C10" s="4"/>
      <c r="D10" s="14"/>
      <c r="E10" s="4"/>
      <c r="F10" s="7"/>
      <c r="G10" s="4"/>
    </row>
    <row r="11" spans="1:32" ht="35.1" customHeight="1">
      <c r="A11" s="4"/>
      <c r="B11" s="4"/>
      <c r="C11" s="4"/>
      <c r="D11" s="14"/>
      <c r="E11" s="4"/>
      <c r="F11" s="7"/>
      <c r="G11" s="4"/>
    </row>
    <row r="12" spans="1:32" ht="16.5">
      <c r="A12" s="4"/>
      <c r="B12" s="4"/>
      <c r="C12" s="4"/>
      <c r="D12" s="14"/>
      <c r="E12" s="4"/>
      <c r="F12" s="14"/>
      <c r="G12" s="4"/>
    </row>
    <row r="13" spans="1:32" ht="16.5">
      <c r="A13" s="4"/>
      <c r="B13" s="4"/>
      <c r="C13" s="4"/>
      <c r="D13" s="14"/>
      <c r="E13" s="4"/>
      <c r="F13" s="14"/>
      <c r="G13" s="4"/>
    </row>
    <row r="14" spans="1:32" ht="16.5">
      <c r="A14" s="4"/>
      <c r="B14" s="4"/>
      <c r="C14" s="4"/>
      <c r="D14" s="14"/>
      <c r="E14" s="4"/>
      <c r="F14" s="14"/>
      <c r="G14" s="4"/>
    </row>
    <row r="15" spans="1:32" ht="16.5">
      <c r="A15" s="4"/>
      <c r="B15" s="4"/>
      <c r="C15" s="4"/>
      <c r="D15" s="14"/>
      <c r="E15" s="4"/>
      <c r="F15" s="14"/>
      <c r="G15" s="4"/>
    </row>
    <row r="16" spans="1:32" ht="16.5">
      <c r="A16" s="4"/>
      <c r="B16" s="4"/>
      <c r="C16" s="4"/>
      <c r="D16" s="14"/>
      <c r="E16" s="4"/>
      <c r="F16" s="14"/>
      <c r="G16" s="4"/>
    </row>
    <row r="17" spans="1:7" ht="16.5">
      <c r="A17" s="4"/>
      <c r="B17" s="4"/>
      <c r="C17" s="4"/>
      <c r="D17" s="14"/>
      <c r="E17" s="4"/>
      <c r="G17" s="4"/>
    </row>
    <row r="18" spans="1:7" ht="16.5">
      <c r="A18" s="4"/>
      <c r="B18" s="4"/>
      <c r="C18" s="4"/>
      <c r="D18" s="14"/>
      <c r="E18" s="4"/>
      <c r="G18" s="4"/>
    </row>
    <row r="19" spans="1:7" ht="16.5">
      <c r="A19" s="4"/>
      <c r="B19" s="4"/>
      <c r="C19" s="4"/>
      <c r="D19" s="14"/>
      <c r="E19" s="4"/>
      <c r="G19" s="4"/>
    </row>
    <row r="20" spans="1:7" ht="16.5">
      <c r="A20" s="4"/>
      <c r="B20" s="4"/>
      <c r="C20" s="4"/>
      <c r="D20" s="14"/>
      <c r="E20" s="4"/>
      <c r="G20" s="4"/>
    </row>
    <row r="21" spans="1:7" ht="16.5">
      <c r="A21" s="4"/>
      <c r="B21" s="4"/>
      <c r="C21" s="4"/>
      <c r="D21" s="14"/>
      <c r="E21" s="4"/>
      <c r="G21" s="4"/>
    </row>
    <row r="22" spans="1:7" ht="16.5">
      <c r="A22" s="4"/>
      <c r="B22" s="4"/>
      <c r="C22" s="4"/>
      <c r="D22" s="14"/>
      <c r="E22" s="4"/>
      <c r="G22" s="4"/>
    </row>
    <row r="23" spans="1:7" ht="16.5">
      <c r="A23" s="4"/>
      <c r="B23" s="4"/>
      <c r="C23" s="4"/>
      <c r="D23" s="14"/>
      <c r="E23" s="4"/>
      <c r="G23" s="4"/>
    </row>
    <row r="24" spans="1:7" ht="16.5">
      <c r="A24" s="4"/>
      <c r="B24" s="4"/>
      <c r="C24" s="4"/>
      <c r="D24" s="14"/>
      <c r="E24" s="4"/>
      <c r="G24" s="4"/>
    </row>
    <row r="25" spans="1:7" ht="16.5">
      <c r="A25" s="4"/>
      <c r="B25" s="4"/>
      <c r="C25" s="4"/>
      <c r="D25" s="14"/>
      <c r="E25" s="4"/>
      <c r="G25" s="4"/>
    </row>
    <row r="26" spans="1:7" ht="16.5">
      <c r="A26" s="4"/>
      <c r="B26" s="4"/>
      <c r="C26" s="4"/>
      <c r="D26" s="14"/>
      <c r="E26" s="4"/>
      <c r="G26" s="4"/>
    </row>
    <row r="27" spans="1:7" ht="16.5">
      <c r="A27" s="4"/>
      <c r="B27" s="4"/>
      <c r="C27" s="4"/>
      <c r="D27" s="14"/>
      <c r="E27" s="4"/>
      <c r="G27" s="4"/>
    </row>
    <row r="28" spans="1:7" ht="16.5">
      <c r="A28" s="4"/>
      <c r="B28" s="4"/>
      <c r="C28" s="4"/>
      <c r="D28" s="14"/>
      <c r="E28" s="4"/>
      <c r="G28" s="4"/>
    </row>
    <row r="29" spans="1:7" ht="16.5">
      <c r="A29" s="4"/>
      <c r="B29" s="4"/>
      <c r="C29" s="4"/>
      <c r="D29" s="14"/>
      <c r="E29" s="4"/>
      <c r="G29" s="4"/>
    </row>
    <row r="30" spans="1:7" ht="16.5">
      <c r="A30" s="4"/>
      <c r="B30" s="4"/>
      <c r="C30" s="4"/>
      <c r="D30" s="14"/>
      <c r="E30" s="4"/>
      <c r="G30" s="4"/>
    </row>
    <row r="31" spans="1:7" ht="16.5">
      <c r="A31" s="4"/>
      <c r="B31" s="4"/>
      <c r="C31" s="4"/>
      <c r="D31" s="14"/>
      <c r="E31" s="4"/>
      <c r="G31" s="4"/>
    </row>
    <row r="32" spans="1:7" ht="16.5">
      <c r="A32"/>
      <c r="B32"/>
      <c r="C32"/>
      <c r="D32" s="14"/>
      <c r="E32"/>
      <c r="G32"/>
    </row>
    <row r="33" spans="1:7">
      <c r="A33" s="4"/>
      <c r="B33" s="4"/>
      <c r="C33" s="4"/>
      <c r="E33" s="4"/>
      <c r="G33" s="4"/>
    </row>
    <row r="34" spans="1:7">
      <c r="A34" s="4"/>
      <c r="B34" s="4"/>
      <c r="C34" s="4"/>
      <c r="E34" s="4"/>
      <c r="G34" s="4"/>
    </row>
    <row r="35" spans="1:7">
      <c r="A35" s="4"/>
      <c r="B35" s="4"/>
      <c r="C35" s="4"/>
      <c r="E35" s="4"/>
      <c r="G35" s="4"/>
    </row>
    <row r="36" spans="1:7">
      <c r="A36" s="4"/>
      <c r="B36" s="4"/>
      <c r="C36" s="4"/>
      <c r="E36" s="4"/>
      <c r="G36" s="4"/>
    </row>
    <row r="37" spans="1:7">
      <c r="A37" s="4"/>
      <c r="B37" s="4"/>
      <c r="C37" s="4"/>
      <c r="E37" s="4"/>
      <c r="G37" s="4"/>
    </row>
    <row r="38" spans="1:7">
      <c r="A38" s="4"/>
      <c r="B38" s="4"/>
      <c r="C38" s="4"/>
      <c r="E38" s="4"/>
      <c r="G38" s="4"/>
    </row>
    <row r="39" spans="1:7">
      <c r="A39" s="4"/>
      <c r="B39" s="4"/>
      <c r="C39" s="4"/>
      <c r="E39" s="4"/>
      <c r="G39" s="4"/>
    </row>
    <row r="40" spans="1:7">
      <c r="A40" s="4"/>
      <c r="B40" s="4"/>
      <c r="C40" s="4"/>
      <c r="E40" s="4"/>
      <c r="G40" s="4"/>
    </row>
    <row r="41" spans="1:7">
      <c r="A41" s="4"/>
      <c r="B41" s="4"/>
      <c r="C41" s="4"/>
      <c r="E41" s="4"/>
      <c r="G41" s="4"/>
    </row>
    <row r="42" spans="1:7">
      <c r="A42" s="4"/>
      <c r="B42" s="4"/>
      <c r="C42" s="4"/>
      <c r="E42" s="4"/>
      <c r="G42" s="4"/>
    </row>
    <row r="43" spans="1:7">
      <c r="A43" s="4"/>
      <c r="B43" s="4"/>
      <c r="C43" s="4"/>
      <c r="E43" s="4"/>
      <c r="G43" s="4"/>
    </row>
    <row r="44" spans="1:7">
      <c r="A44" s="4"/>
      <c r="B44" s="4"/>
      <c r="C44" s="4"/>
      <c r="E44" s="4"/>
      <c r="G44" s="4"/>
    </row>
    <row r="45" spans="1:7">
      <c r="A45" s="4"/>
      <c r="B45" s="4"/>
      <c r="C45" s="4"/>
      <c r="E45" s="4"/>
      <c r="G45" s="4"/>
    </row>
    <row r="46" spans="1:7">
      <c r="A46" s="4"/>
      <c r="B46" s="4"/>
      <c r="C46" s="4"/>
      <c r="E46" s="4"/>
      <c r="G46" s="4"/>
    </row>
    <row r="47" spans="1:7">
      <c r="A47" s="4"/>
      <c r="B47" s="4"/>
      <c r="C47" s="4"/>
      <c r="E47" s="4"/>
      <c r="G47" s="4"/>
    </row>
    <row r="48" spans="1:7">
      <c r="A48" s="4"/>
      <c r="B48" s="4"/>
      <c r="C48" s="4"/>
      <c r="E48" s="4"/>
      <c r="G48" s="4"/>
    </row>
    <row r="49" spans="1:7">
      <c r="A49" s="4"/>
      <c r="B49" s="4"/>
      <c r="C49" s="4"/>
      <c r="E49" s="4"/>
      <c r="G49" s="4"/>
    </row>
    <row r="50" spans="1:7">
      <c r="A50" s="4"/>
      <c r="B50" s="4"/>
      <c r="C50" s="4"/>
      <c r="E50" s="4"/>
      <c r="G50" s="4"/>
    </row>
    <row r="51" spans="1:7">
      <c r="A51" s="4"/>
      <c r="B51" s="4"/>
      <c r="C51" s="4"/>
      <c r="E51" s="4"/>
      <c r="G51" s="4"/>
    </row>
    <row r="52" spans="1:7">
      <c r="A52" s="4"/>
      <c r="B52" s="4"/>
      <c r="C52" s="4"/>
      <c r="E52" s="4"/>
      <c r="G52" s="4"/>
    </row>
    <row r="53" spans="1:7">
      <c r="A53" s="4"/>
      <c r="B53" s="4"/>
      <c r="C53" s="4"/>
      <c r="E53" s="4"/>
      <c r="G53" s="4"/>
    </row>
    <row r="54" spans="1:7">
      <c r="A54" s="4"/>
      <c r="B54" s="4"/>
      <c r="C54" s="4"/>
      <c r="E54" s="4"/>
      <c r="G54" s="4"/>
    </row>
    <row r="55" spans="1:7">
      <c r="A55" s="4"/>
      <c r="B55" s="4"/>
      <c r="C55" s="4"/>
      <c r="E55" s="4"/>
      <c r="G55" s="4"/>
    </row>
    <row r="56" spans="1:7">
      <c r="A56" s="4"/>
      <c r="B56" s="4"/>
      <c r="C56" s="4"/>
      <c r="E56" s="4"/>
      <c r="G56" s="4"/>
    </row>
    <row r="57" spans="1:7">
      <c r="A57" s="4"/>
      <c r="B57" s="4"/>
      <c r="C57" s="4"/>
      <c r="E57" s="4"/>
      <c r="G57" s="4"/>
    </row>
    <row r="58" spans="1:7">
      <c r="A58" s="4"/>
      <c r="B58" s="4"/>
      <c r="C58" s="4"/>
      <c r="E58" s="4"/>
      <c r="G58" s="4"/>
    </row>
    <row r="59" spans="1:7">
      <c r="A59" s="4"/>
      <c r="B59" s="4"/>
      <c r="C59" s="4"/>
      <c r="E59" s="4"/>
      <c r="G59" s="4"/>
    </row>
    <row r="60" spans="1:7">
      <c r="A60" s="4"/>
      <c r="B60" s="4"/>
      <c r="C60" s="4"/>
      <c r="E60" s="4"/>
      <c r="G60" s="4"/>
    </row>
    <row r="61" spans="1:7">
      <c r="A61" s="4"/>
      <c r="B61" s="4"/>
      <c r="C61" s="4"/>
      <c r="E61" s="4"/>
      <c r="G61" s="4"/>
    </row>
  </sheetData>
  <conditionalFormatting sqref="D3:D5">
    <cfRule type="containsText" dxfId="9" priority="9" operator="containsText" text="Low">
      <formula>NOT(ISERROR(SEARCH("Low",D3)))</formula>
    </cfRule>
    <cfRule type="containsText" dxfId="8" priority="10" operator="containsText" text="Medium">
      <formula>NOT(ISERROR(SEARCH("Medium",D3)))</formula>
    </cfRule>
    <cfRule type="containsText" dxfId="7" priority="11" operator="containsText" text="High">
      <formula>NOT(ISERROR(SEARCH("High",D3)))</formula>
    </cfRule>
  </conditionalFormatting>
  <conditionalFormatting sqref="F3:F11">
    <cfRule type="containsText" dxfId="6" priority="8" operator="containsText" text="Approved">
      <formula>NOT(ISERROR(SEARCH("Approved",F3)))</formula>
    </cfRule>
    <cfRule type="containsText" dxfId="5" priority="12" operator="containsText" text="Needs Review">
      <formula>NOT(ISERROR(SEARCH("Needs Review",F3)))</formula>
    </cfRule>
    <cfRule type="containsText" dxfId="4" priority="13" operator="containsText" text="Not Started">
      <formula>NOT(ISERROR(SEARCH("Not Started",F3)))</formula>
    </cfRule>
    <cfRule type="containsText" dxfId="3" priority="14" operator="containsText" text="On Hold">
      <formula>NOT(ISERROR(SEARCH("On Hold",F3)))</formula>
    </cfRule>
    <cfRule type="containsText" dxfId="2" priority="15" operator="containsText" text="Overdue">
      <formula>NOT(ISERROR(SEARCH("Overdue",F3)))</formula>
    </cfRule>
    <cfRule type="containsText" dxfId="1" priority="16" operator="containsText" text="Complete">
      <formula>NOT(ISERROR(SEARCH("Complete",F3)))</formula>
    </cfRule>
    <cfRule type="containsText" dxfId="0" priority="17" operator="containsText" text="In Progress">
      <formula>NOT(ISERROR(SEARCH("In Progress",F3)))</formula>
    </cfRule>
  </conditionalFormatting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7050F098946E478351D052D0E7E899" ma:contentTypeVersion="12" ma:contentTypeDescription="Create a new document." ma:contentTypeScope="" ma:versionID="130166160acb3be925dafca058082240">
  <xsd:schema xmlns:xsd="http://www.w3.org/2001/XMLSchema" xmlns:xs="http://www.w3.org/2001/XMLSchema" xmlns:p="http://schemas.microsoft.com/office/2006/metadata/properties" xmlns:ns3="4aea553f-a7aa-42f1-880b-00959a046054" targetNamespace="http://schemas.microsoft.com/office/2006/metadata/properties" ma:root="true" ma:fieldsID="df0d090e63823c34e3e8fd60b359f207" ns3:_="">
    <xsd:import namespace="4aea553f-a7aa-42f1-880b-00959a04605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ea553f-a7aa-42f1-880b-00959a0460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aea553f-a7aa-42f1-880b-00959a04605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D19CE5-9661-43D7-B6BD-BFC6B2CB282A}"/>
</file>

<file path=customXml/itemProps2.xml><?xml version="1.0" encoding="utf-8"?>
<ds:datastoreItem xmlns:ds="http://schemas.openxmlformats.org/officeDocument/2006/customXml" ds:itemID="{2A230BAD-4D65-4B6B-B442-CF44AC1191BD}"/>
</file>

<file path=customXml/itemProps3.xml><?xml version="1.0" encoding="utf-8"?>
<ds:datastoreItem xmlns:ds="http://schemas.openxmlformats.org/officeDocument/2006/customXml" ds:itemID="{513C0F87-5E52-4F3A-B848-5AC7103E3F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Smartsheet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Bess</dc:creator>
  <cp:keywords/>
  <dc:description/>
  <cp:lastModifiedBy>CESAR DAVID MONTOYA LUNA</cp:lastModifiedBy>
  <cp:revision/>
  <dcterms:created xsi:type="dcterms:W3CDTF">2015-08-28T20:34:30Z</dcterms:created>
  <dcterms:modified xsi:type="dcterms:W3CDTF">2026-03-21T13:18:16Z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0x0101005B7050F098946E478351D052D0E7E899</vt:lpwstr>
  </property>
</Properties>
</file>